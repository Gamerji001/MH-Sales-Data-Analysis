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E7727CEC19FFAE6/Documents/"/>
    </mc:Choice>
  </mc:AlternateContent>
  <xr:revisionPtr revIDLastSave="488" documentId="8_{FF775135-D758-46AC-970F-E590A4E479EF}" xr6:coauthVersionLast="47" xr6:coauthVersionMax="47" xr10:uidLastSave="{1B045533-0B47-4124-A68D-A2FFA25F3217}"/>
  <bookViews>
    <workbookView xWindow="-108" yWindow="-108" windowWidth="23256" windowHeight="12456" xr2:uid="{00000000-000D-0000-FFFF-FFFF00000000}"/>
  </bookViews>
  <sheets>
    <sheet name="MH_SalesData" sheetId="1" r:id="rId1"/>
    <sheet name="SalesData-Q (1)" sheetId="2" r:id="rId2"/>
    <sheet name="SalesData-Q (2)" sheetId="3" r:id="rId3"/>
    <sheet name="SalesData-Q (3)" sheetId="4" r:id="rId4"/>
    <sheet name="SalesData-Q (4)" sheetId="5" r:id="rId5"/>
    <sheet name="SalesData-Q (5)" sheetId="6" r:id="rId6"/>
    <sheet name="SalesData-Q (6)" sheetId="7" r:id="rId7"/>
    <sheet name="SalesData-Q (7)" sheetId="8" r:id="rId8"/>
    <sheet name="SalesData-Q (8)" sheetId="9" r:id="rId9"/>
    <sheet name="SalesData-Q (9)" sheetId="10" r:id="rId10"/>
    <sheet name="SalesData-Q (10)" sheetId="11" r:id="rId11"/>
    <sheet name="SalesData-Q (11)" sheetId="12" r:id="rId12"/>
    <sheet name="SalesData-Q (12)" sheetId="13" r:id="rId13"/>
    <sheet name="SalesData-Q (13)" sheetId="14" r:id="rId14"/>
    <sheet name="SalesData-Q (14-A)" sheetId="15" r:id="rId15"/>
    <sheet name="SheetData- Q(14-B)" sheetId="16" r:id="rId16"/>
    <sheet name="SheetData- Q(14-C)" sheetId="17" r:id="rId17"/>
  </sheets>
  <definedNames>
    <definedName name="_xlnm._FilterDatabase" localSheetId="14" hidden="1">'SalesData-Q (14-A)'!$A$1:$L$401</definedName>
    <definedName name="_xlnm._FilterDatabase" localSheetId="2" hidden="1">'SalesData-Q (2)'!$I$1:$I$401</definedName>
    <definedName name="_xlnm._FilterDatabase" localSheetId="3" hidden="1">'SalesData-Q (3)'!$A$1:$K$401</definedName>
  </definedNames>
  <calcPr calcId="191029"/>
  <pivotCaches>
    <pivotCache cacheId="3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5" l="1"/>
  <c r="L10" i="17"/>
  <c r="L9" i="17"/>
  <c r="L8" i="17"/>
  <c r="L7" i="17"/>
  <c r="L6" i="17"/>
  <c r="L5" i="17"/>
  <c r="L4" i="17"/>
  <c r="L3" i="17"/>
  <c r="L2" i="17"/>
  <c r="L378" i="15"/>
  <c r="L36" i="15"/>
  <c r="L361" i="15"/>
  <c r="L139" i="15"/>
  <c r="L264" i="15"/>
  <c r="L389" i="15"/>
  <c r="L125" i="15"/>
  <c r="L354" i="15"/>
  <c r="L61" i="15"/>
  <c r="L83" i="15"/>
  <c r="L79" i="15"/>
  <c r="L177" i="15"/>
  <c r="L123" i="15"/>
  <c r="L141" i="15"/>
  <c r="L35" i="15"/>
  <c r="L184" i="15"/>
  <c r="L31" i="15"/>
  <c r="L37" i="15"/>
  <c r="L300" i="15"/>
  <c r="L66" i="15"/>
  <c r="L222" i="15"/>
  <c r="L359" i="15"/>
  <c r="L355" i="15"/>
  <c r="L82" i="15"/>
  <c r="L252" i="15"/>
  <c r="L267" i="15"/>
  <c r="L6" i="15"/>
  <c r="L24" i="15"/>
  <c r="L55" i="15"/>
  <c r="L168" i="15"/>
  <c r="L245" i="15"/>
  <c r="L302" i="15"/>
  <c r="L149" i="15"/>
  <c r="L367" i="15"/>
  <c r="L391" i="15"/>
  <c r="L22" i="15"/>
  <c r="L345" i="15"/>
  <c r="L234" i="15"/>
  <c r="L78" i="15"/>
  <c r="L260" i="15"/>
  <c r="L318" i="15"/>
  <c r="L140" i="15"/>
  <c r="L72" i="15"/>
  <c r="L210" i="15"/>
  <c r="L341" i="15"/>
  <c r="L25" i="15"/>
  <c r="L32" i="15"/>
  <c r="L111" i="15"/>
  <c r="L326" i="15"/>
  <c r="L335" i="15"/>
  <c r="L250" i="15"/>
  <c r="L121" i="15"/>
  <c r="L5" i="15"/>
  <c r="L329" i="15"/>
  <c r="L164" i="15"/>
  <c r="L157" i="15"/>
  <c r="L43" i="15"/>
  <c r="L307" i="15"/>
  <c r="L68" i="15"/>
  <c r="L45" i="15"/>
  <c r="L150" i="15"/>
  <c r="L217" i="15"/>
  <c r="L348" i="15"/>
  <c r="L126" i="15"/>
  <c r="L297" i="15"/>
  <c r="L196" i="15"/>
  <c r="L255" i="15"/>
  <c r="L38" i="15"/>
  <c r="L274" i="15"/>
  <c r="L323" i="15"/>
  <c r="L163" i="15"/>
  <c r="L127" i="15"/>
  <c r="L308" i="15"/>
  <c r="L382" i="15"/>
  <c r="L283" i="15"/>
  <c r="L227" i="15"/>
  <c r="L56" i="15"/>
  <c r="L314" i="15"/>
  <c r="L195" i="15"/>
  <c r="L148" i="15"/>
  <c r="L215" i="15"/>
  <c r="L368" i="15"/>
  <c r="L13" i="15"/>
  <c r="L396" i="15"/>
  <c r="L59" i="15"/>
  <c r="L186" i="15"/>
  <c r="L23" i="15"/>
  <c r="L188" i="15"/>
  <c r="L192" i="15"/>
  <c r="L185" i="15"/>
  <c r="L386" i="15"/>
  <c r="L95" i="15"/>
  <c r="L400" i="15"/>
  <c r="L27" i="15"/>
  <c r="L143" i="15"/>
  <c r="L393" i="15"/>
  <c r="L44" i="15"/>
  <c r="L279" i="15"/>
  <c r="L181" i="15"/>
  <c r="L183" i="15"/>
  <c r="L243" i="15"/>
  <c r="L232" i="15"/>
  <c r="L179" i="15"/>
  <c r="L69" i="15"/>
  <c r="L80" i="15"/>
  <c r="L358" i="15"/>
  <c r="L119" i="15"/>
  <c r="L151" i="15"/>
  <c r="L180" i="15"/>
  <c r="L88" i="15"/>
  <c r="L281" i="15"/>
  <c r="L113" i="15"/>
  <c r="L53" i="15"/>
  <c r="L58" i="15"/>
  <c r="L311" i="15"/>
  <c r="L256" i="15"/>
  <c r="L332" i="15"/>
  <c r="L282" i="15"/>
  <c r="L278" i="15"/>
  <c r="L225" i="15"/>
  <c r="L350" i="15"/>
  <c r="L385" i="15"/>
  <c r="L8" i="15"/>
  <c r="L169" i="15"/>
  <c r="L309" i="15"/>
  <c r="L258" i="15"/>
  <c r="L270" i="15"/>
  <c r="L63" i="15"/>
  <c r="L103" i="15"/>
  <c r="L42" i="15"/>
  <c r="L34" i="15"/>
  <c r="L12" i="15"/>
  <c r="L167" i="15"/>
  <c r="L65" i="15"/>
  <c r="L401" i="15"/>
  <c r="L285" i="15"/>
  <c r="L369" i="15"/>
  <c r="L161" i="15"/>
  <c r="L251" i="15"/>
  <c r="L247" i="15"/>
  <c r="L322" i="15"/>
  <c r="L11" i="15"/>
  <c r="L74" i="15"/>
  <c r="L262" i="15"/>
  <c r="L75" i="15"/>
  <c r="L275" i="15"/>
  <c r="L339" i="15"/>
  <c r="L280" i="15"/>
  <c r="L17" i="15"/>
  <c r="L312" i="15"/>
  <c r="L14" i="15"/>
  <c r="L142" i="15"/>
  <c r="L153" i="15"/>
  <c r="L346" i="15"/>
  <c r="L321" i="15"/>
  <c r="L235" i="15"/>
  <c r="L2" i="15"/>
  <c r="L198" i="15"/>
  <c r="L206" i="15"/>
  <c r="L364" i="15"/>
  <c r="L254" i="15"/>
  <c r="L259" i="15"/>
  <c r="L237" i="15"/>
  <c r="L370" i="15"/>
  <c r="L156" i="15"/>
  <c r="L340" i="15"/>
  <c r="L319" i="15"/>
  <c r="L253" i="15"/>
  <c r="L97" i="15"/>
  <c r="L218" i="15"/>
  <c r="L144" i="15"/>
  <c r="L242" i="15"/>
  <c r="L174" i="15"/>
  <c r="L91" i="15"/>
  <c r="L244" i="15"/>
  <c r="L85" i="15"/>
  <c r="L57" i="15"/>
  <c r="L87" i="15"/>
  <c r="L265" i="15"/>
  <c r="L239" i="15"/>
  <c r="L211" i="15"/>
  <c r="L246" i="15"/>
  <c r="L387" i="15"/>
  <c r="L397" i="15"/>
  <c r="L363" i="15"/>
  <c r="L51" i="15"/>
  <c r="L272" i="15"/>
  <c r="L89" i="15"/>
  <c r="L67" i="15"/>
  <c r="L77" i="15"/>
  <c r="L248" i="15"/>
  <c r="L317" i="15"/>
  <c r="L71" i="15"/>
  <c r="L216" i="15"/>
  <c r="L349" i="15"/>
  <c r="L381" i="15"/>
  <c r="L399" i="15"/>
  <c r="L295" i="15"/>
  <c r="L145" i="15"/>
  <c r="L224" i="15"/>
  <c r="L336" i="15"/>
  <c r="L15" i="15"/>
  <c r="L268" i="15"/>
  <c r="L289" i="15"/>
  <c r="L108" i="15"/>
  <c r="L191" i="15"/>
  <c r="L287" i="15"/>
  <c r="L136" i="15"/>
  <c r="L209" i="15"/>
  <c r="L373" i="15"/>
  <c r="L176" i="15"/>
  <c r="L219" i="15"/>
  <c r="L159" i="15"/>
  <c r="L193" i="15"/>
  <c r="L7" i="15"/>
  <c r="L134" i="15"/>
  <c r="L93" i="15"/>
  <c r="L46" i="15"/>
  <c r="L375" i="15"/>
  <c r="L54" i="15"/>
  <c r="L353" i="15"/>
  <c r="L303" i="15"/>
  <c r="L189" i="15"/>
  <c r="L394" i="15"/>
  <c r="L154" i="15"/>
  <c r="L30" i="15"/>
  <c r="L109" i="15"/>
  <c r="L344" i="15"/>
  <c r="L327" i="15"/>
  <c r="L48" i="15"/>
  <c r="L337" i="15"/>
  <c r="L347" i="15"/>
  <c r="L137" i="15"/>
  <c r="L292" i="15"/>
  <c r="L296" i="15"/>
  <c r="L388" i="15"/>
  <c r="L384" i="15"/>
  <c r="L133" i="15"/>
  <c r="L40" i="15"/>
  <c r="L204" i="15"/>
  <c r="L107" i="15"/>
  <c r="L73" i="15"/>
  <c r="L96" i="15"/>
  <c r="L124" i="15"/>
  <c r="L383" i="15"/>
  <c r="L343" i="15"/>
  <c r="L208" i="15"/>
  <c r="L158" i="15"/>
  <c r="L117" i="15"/>
  <c r="L152" i="15"/>
  <c r="L299" i="15"/>
  <c r="L205" i="15"/>
  <c r="L104" i="15"/>
  <c r="L226" i="15"/>
  <c r="L187" i="15"/>
  <c r="L52" i="15"/>
  <c r="L190" i="15"/>
  <c r="L320" i="15"/>
  <c r="L288" i="15"/>
  <c r="L47" i="15"/>
  <c r="L138" i="15"/>
  <c r="L76" i="15"/>
  <c r="L60" i="15"/>
  <c r="L175" i="15"/>
  <c r="L306" i="15"/>
  <c r="L94" i="15"/>
  <c r="L9" i="15"/>
  <c r="L92" i="15"/>
  <c r="L199" i="15"/>
  <c r="L333" i="15"/>
  <c r="L221" i="15"/>
  <c r="L377" i="15"/>
  <c r="L366" i="15"/>
  <c r="L229" i="15"/>
  <c r="L130" i="15"/>
  <c r="L84" i="15"/>
  <c r="L395" i="15"/>
  <c r="L207" i="15"/>
  <c r="L240" i="15"/>
  <c r="L33" i="15"/>
  <c r="L102" i="15"/>
  <c r="L304" i="15"/>
  <c r="L276" i="15"/>
  <c r="L129" i="15"/>
  <c r="L49" i="15"/>
  <c r="L238" i="15"/>
  <c r="L334" i="15"/>
  <c r="L390" i="15"/>
  <c r="L172" i="15"/>
  <c r="L257" i="15"/>
  <c r="L101" i="15"/>
  <c r="L160" i="15"/>
  <c r="L146" i="15"/>
  <c r="L110" i="15"/>
  <c r="L197" i="15"/>
  <c r="L213" i="15"/>
  <c r="L371" i="15"/>
  <c r="L147" i="15"/>
  <c r="L166" i="15"/>
  <c r="L29" i="15"/>
  <c r="L81" i="15"/>
  <c r="L325" i="15"/>
  <c r="L293" i="15"/>
  <c r="L290" i="15"/>
  <c r="L90" i="15"/>
  <c r="L112" i="15"/>
  <c r="L261" i="15"/>
  <c r="L228" i="15"/>
  <c r="L214" i="15"/>
  <c r="L106" i="15"/>
  <c r="L374" i="15"/>
  <c r="L3" i="15"/>
  <c r="L120" i="15"/>
  <c r="L20" i="15"/>
  <c r="L298" i="15"/>
  <c r="L380" i="15"/>
  <c r="L26" i="15"/>
  <c r="L233" i="15"/>
  <c r="L351" i="15"/>
  <c r="L372" i="15"/>
  <c r="L19" i="15"/>
  <c r="L39" i="15"/>
  <c r="L21" i="15"/>
  <c r="L98" i="15"/>
  <c r="L398" i="15"/>
  <c r="L50" i="15"/>
  <c r="L99" i="15"/>
  <c r="L313" i="15"/>
  <c r="L263" i="15"/>
  <c r="L4" i="15"/>
  <c r="L41" i="15"/>
  <c r="L338" i="15"/>
  <c r="L220" i="15"/>
  <c r="L105" i="15"/>
  <c r="L132" i="15"/>
  <c r="L118" i="15"/>
  <c r="L273" i="15"/>
  <c r="L315" i="15"/>
  <c r="L62" i="15"/>
  <c r="L182" i="15"/>
  <c r="L10" i="15"/>
  <c r="L162" i="15"/>
  <c r="L342" i="15"/>
  <c r="L203" i="15"/>
  <c r="L249" i="15"/>
  <c r="L230" i="15"/>
  <c r="L328" i="15"/>
  <c r="L178" i="15"/>
  <c r="L266" i="15"/>
  <c r="L331" i="15"/>
  <c r="L379" i="15"/>
  <c r="L301" i="15"/>
  <c r="L165" i="15"/>
  <c r="L131" i="15"/>
  <c r="L155" i="15"/>
  <c r="L200" i="15"/>
  <c r="L114" i="15"/>
  <c r="L194" i="15"/>
  <c r="L18" i="15"/>
  <c r="L310" i="15"/>
  <c r="L376" i="15"/>
  <c r="L173" i="15"/>
  <c r="L86" i="15"/>
  <c r="L316" i="15"/>
  <c r="L171" i="15"/>
  <c r="L324" i="15"/>
  <c r="L231" i="15"/>
  <c r="L170" i="15"/>
  <c r="L212" i="15"/>
  <c r="L100" i="15"/>
  <c r="L392" i="15"/>
  <c r="L305" i="15"/>
  <c r="L271" i="15"/>
  <c r="L291" i="15"/>
  <c r="L365" i="15"/>
  <c r="L294" i="15"/>
  <c r="L135" i="15"/>
  <c r="L241" i="15"/>
  <c r="L202" i="15"/>
  <c r="L116" i="15"/>
  <c r="L352" i="15"/>
  <c r="L236" i="15"/>
  <c r="L28" i="15"/>
  <c r="L286" i="15"/>
  <c r="L357" i="15"/>
  <c r="L64" i="15"/>
  <c r="L128" i="15"/>
  <c r="L16" i="15"/>
  <c r="L277" i="15"/>
  <c r="L115" i="15"/>
  <c r="L362" i="15"/>
  <c r="L284" i="15"/>
  <c r="L70" i="15"/>
  <c r="L360" i="15"/>
  <c r="L330" i="15"/>
  <c r="L269" i="15"/>
  <c r="L356" i="15"/>
  <c r="L122" i="15"/>
  <c r="L223" i="15"/>
  <c r="L201" i="15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2" i="14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L3" i="13"/>
  <c r="O3" i="13" s="1"/>
  <c r="L4" i="13"/>
  <c r="O4" i="13" s="1"/>
  <c r="L5" i="13"/>
  <c r="O5" i="13" s="1"/>
  <c r="L6" i="13"/>
  <c r="O6" i="13" s="1"/>
  <c r="L7" i="13"/>
  <c r="O7" i="13" s="1"/>
  <c r="L8" i="13"/>
  <c r="O8" i="13" s="1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O15" i="13" s="1"/>
  <c r="L16" i="13"/>
  <c r="O16" i="13" s="1"/>
  <c r="L17" i="13"/>
  <c r="O17" i="13" s="1"/>
  <c r="L18" i="13"/>
  <c r="O18" i="13" s="1"/>
  <c r="L19" i="13"/>
  <c r="O19" i="13" s="1"/>
  <c r="L20" i="13"/>
  <c r="O20" i="13" s="1"/>
  <c r="L21" i="13"/>
  <c r="O21" i="13" s="1"/>
  <c r="L22" i="13"/>
  <c r="O22" i="13" s="1"/>
  <c r="L23" i="13"/>
  <c r="O23" i="13" s="1"/>
  <c r="L24" i="13"/>
  <c r="O24" i="13" s="1"/>
  <c r="L25" i="13"/>
  <c r="O25" i="13" s="1"/>
  <c r="L26" i="13"/>
  <c r="O26" i="13" s="1"/>
  <c r="L27" i="13"/>
  <c r="O27" i="13" s="1"/>
  <c r="L28" i="13"/>
  <c r="O28" i="13" s="1"/>
  <c r="L29" i="13"/>
  <c r="O29" i="13" s="1"/>
  <c r="L30" i="13"/>
  <c r="O30" i="13" s="1"/>
  <c r="L31" i="13"/>
  <c r="O31" i="13" s="1"/>
  <c r="L32" i="13"/>
  <c r="O32" i="13" s="1"/>
  <c r="L33" i="13"/>
  <c r="O33" i="13" s="1"/>
  <c r="L34" i="13"/>
  <c r="O34" i="13" s="1"/>
  <c r="L35" i="13"/>
  <c r="O35" i="13" s="1"/>
  <c r="L36" i="13"/>
  <c r="O36" i="13" s="1"/>
  <c r="L37" i="13"/>
  <c r="O37" i="13" s="1"/>
  <c r="L38" i="13"/>
  <c r="O38" i="13" s="1"/>
  <c r="L39" i="13"/>
  <c r="O39" i="13" s="1"/>
  <c r="L40" i="13"/>
  <c r="O40" i="13" s="1"/>
  <c r="L41" i="13"/>
  <c r="O41" i="13" s="1"/>
  <c r="L42" i="13"/>
  <c r="O42" i="13" s="1"/>
  <c r="L43" i="13"/>
  <c r="O43" i="13" s="1"/>
  <c r="L44" i="13"/>
  <c r="O44" i="13" s="1"/>
  <c r="L45" i="13"/>
  <c r="O45" i="13" s="1"/>
  <c r="L46" i="13"/>
  <c r="O46" i="13" s="1"/>
  <c r="L47" i="13"/>
  <c r="O47" i="13" s="1"/>
  <c r="L48" i="13"/>
  <c r="O48" i="13" s="1"/>
  <c r="L49" i="13"/>
  <c r="O49" i="13" s="1"/>
  <c r="L50" i="13"/>
  <c r="O50" i="13" s="1"/>
  <c r="L51" i="13"/>
  <c r="O51" i="13" s="1"/>
  <c r="L52" i="13"/>
  <c r="O52" i="13" s="1"/>
  <c r="L53" i="13"/>
  <c r="O53" i="13" s="1"/>
  <c r="L54" i="13"/>
  <c r="O54" i="13" s="1"/>
  <c r="L55" i="13"/>
  <c r="O55" i="13" s="1"/>
  <c r="L56" i="13"/>
  <c r="O56" i="13" s="1"/>
  <c r="L57" i="13"/>
  <c r="O57" i="13" s="1"/>
  <c r="L58" i="13"/>
  <c r="O58" i="13" s="1"/>
  <c r="L59" i="13"/>
  <c r="O59" i="13" s="1"/>
  <c r="L60" i="13"/>
  <c r="O60" i="13" s="1"/>
  <c r="L61" i="13"/>
  <c r="O61" i="13" s="1"/>
  <c r="L62" i="13"/>
  <c r="O62" i="13" s="1"/>
  <c r="L63" i="13"/>
  <c r="O63" i="13" s="1"/>
  <c r="L64" i="13"/>
  <c r="O64" i="13" s="1"/>
  <c r="L65" i="13"/>
  <c r="O65" i="13" s="1"/>
  <c r="L66" i="13"/>
  <c r="O66" i="13" s="1"/>
  <c r="L67" i="13"/>
  <c r="O67" i="13" s="1"/>
  <c r="L68" i="13"/>
  <c r="O68" i="13" s="1"/>
  <c r="L69" i="13"/>
  <c r="O69" i="13" s="1"/>
  <c r="L70" i="13"/>
  <c r="O70" i="13" s="1"/>
  <c r="L71" i="13"/>
  <c r="O71" i="13" s="1"/>
  <c r="L72" i="13"/>
  <c r="O72" i="13" s="1"/>
  <c r="L73" i="13"/>
  <c r="O73" i="13" s="1"/>
  <c r="L74" i="13"/>
  <c r="O74" i="13" s="1"/>
  <c r="L75" i="13"/>
  <c r="O75" i="13" s="1"/>
  <c r="L76" i="13"/>
  <c r="O76" i="13" s="1"/>
  <c r="L77" i="13"/>
  <c r="O77" i="13" s="1"/>
  <c r="L78" i="13"/>
  <c r="O78" i="13" s="1"/>
  <c r="L79" i="13"/>
  <c r="O79" i="13" s="1"/>
  <c r="L80" i="13"/>
  <c r="O80" i="13" s="1"/>
  <c r="L81" i="13"/>
  <c r="O81" i="13" s="1"/>
  <c r="L82" i="13"/>
  <c r="O82" i="13" s="1"/>
  <c r="L83" i="13"/>
  <c r="O83" i="13" s="1"/>
  <c r="L84" i="13"/>
  <c r="O84" i="13" s="1"/>
  <c r="L85" i="13"/>
  <c r="O85" i="13" s="1"/>
  <c r="L86" i="13"/>
  <c r="O86" i="13" s="1"/>
  <c r="L87" i="13"/>
  <c r="O87" i="13" s="1"/>
  <c r="L88" i="13"/>
  <c r="O88" i="13" s="1"/>
  <c r="L89" i="13"/>
  <c r="O89" i="13" s="1"/>
  <c r="L90" i="13"/>
  <c r="O90" i="13" s="1"/>
  <c r="L91" i="13"/>
  <c r="O91" i="13" s="1"/>
  <c r="L92" i="13"/>
  <c r="O92" i="13" s="1"/>
  <c r="L93" i="13"/>
  <c r="O93" i="13" s="1"/>
  <c r="L94" i="13"/>
  <c r="O94" i="13" s="1"/>
  <c r="L95" i="13"/>
  <c r="O95" i="13" s="1"/>
  <c r="L96" i="13"/>
  <c r="O96" i="13" s="1"/>
  <c r="L97" i="13"/>
  <c r="O97" i="13" s="1"/>
  <c r="L98" i="13"/>
  <c r="O98" i="13" s="1"/>
  <c r="L99" i="13"/>
  <c r="O99" i="13" s="1"/>
  <c r="L100" i="13"/>
  <c r="O100" i="13" s="1"/>
  <c r="L101" i="13"/>
  <c r="O101" i="13" s="1"/>
  <c r="L102" i="13"/>
  <c r="O102" i="13" s="1"/>
  <c r="L103" i="13"/>
  <c r="O103" i="13" s="1"/>
  <c r="L104" i="13"/>
  <c r="O104" i="13" s="1"/>
  <c r="L105" i="13"/>
  <c r="O105" i="13" s="1"/>
  <c r="L106" i="13"/>
  <c r="O106" i="13" s="1"/>
  <c r="L107" i="13"/>
  <c r="O107" i="13" s="1"/>
  <c r="L108" i="13"/>
  <c r="O108" i="13" s="1"/>
  <c r="L109" i="13"/>
  <c r="O109" i="13" s="1"/>
  <c r="L110" i="13"/>
  <c r="O110" i="13" s="1"/>
  <c r="L111" i="13"/>
  <c r="O111" i="13" s="1"/>
  <c r="L112" i="13"/>
  <c r="O112" i="13" s="1"/>
  <c r="L113" i="13"/>
  <c r="O113" i="13" s="1"/>
  <c r="L114" i="13"/>
  <c r="O114" i="13" s="1"/>
  <c r="L115" i="13"/>
  <c r="O115" i="13" s="1"/>
  <c r="L116" i="13"/>
  <c r="O116" i="13" s="1"/>
  <c r="L117" i="13"/>
  <c r="O117" i="13" s="1"/>
  <c r="L118" i="13"/>
  <c r="O118" i="13" s="1"/>
  <c r="L119" i="13"/>
  <c r="O119" i="13" s="1"/>
  <c r="L120" i="13"/>
  <c r="O120" i="13" s="1"/>
  <c r="L121" i="13"/>
  <c r="O121" i="13" s="1"/>
  <c r="L122" i="13"/>
  <c r="O122" i="13" s="1"/>
  <c r="L123" i="13"/>
  <c r="O123" i="13" s="1"/>
  <c r="L124" i="13"/>
  <c r="O124" i="13" s="1"/>
  <c r="L125" i="13"/>
  <c r="O125" i="13" s="1"/>
  <c r="L126" i="13"/>
  <c r="O126" i="13" s="1"/>
  <c r="L127" i="13"/>
  <c r="O127" i="13" s="1"/>
  <c r="L128" i="13"/>
  <c r="O128" i="13" s="1"/>
  <c r="L129" i="13"/>
  <c r="O129" i="13" s="1"/>
  <c r="L130" i="13"/>
  <c r="O130" i="13" s="1"/>
  <c r="L131" i="13"/>
  <c r="O131" i="13" s="1"/>
  <c r="L132" i="13"/>
  <c r="O132" i="13" s="1"/>
  <c r="L133" i="13"/>
  <c r="O133" i="13" s="1"/>
  <c r="L134" i="13"/>
  <c r="O134" i="13" s="1"/>
  <c r="L135" i="13"/>
  <c r="O135" i="13" s="1"/>
  <c r="L136" i="13"/>
  <c r="O136" i="13" s="1"/>
  <c r="L137" i="13"/>
  <c r="O137" i="13" s="1"/>
  <c r="L138" i="13"/>
  <c r="O138" i="13" s="1"/>
  <c r="L139" i="13"/>
  <c r="O139" i="13" s="1"/>
  <c r="L140" i="13"/>
  <c r="O140" i="13" s="1"/>
  <c r="L141" i="13"/>
  <c r="O141" i="13" s="1"/>
  <c r="L142" i="13"/>
  <c r="O142" i="13" s="1"/>
  <c r="L143" i="13"/>
  <c r="O143" i="13" s="1"/>
  <c r="L144" i="13"/>
  <c r="O144" i="13" s="1"/>
  <c r="L145" i="13"/>
  <c r="O145" i="13" s="1"/>
  <c r="L146" i="13"/>
  <c r="O146" i="13" s="1"/>
  <c r="L147" i="13"/>
  <c r="O147" i="13" s="1"/>
  <c r="L148" i="13"/>
  <c r="O148" i="13" s="1"/>
  <c r="L149" i="13"/>
  <c r="O149" i="13" s="1"/>
  <c r="L150" i="13"/>
  <c r="O150" i="13" s="1"/>
  <c r="L151" i="13"/>
  <c r="O151" i="13" s="1"/>
  <c r="L152" i="13"/>
  <c r="O152" i="13" s="1"/>
  <c r="L153" i="13"/>
  <c r="O153" i="13" s="1"/>
  <c r="L154" i="13"/>
  <c r="O154" i="13" s="1"/>
  <c r="L155" i="13"/>
  <c r="O155" i="13" s="1"/>
  <c r="L156" i="13"/>
  <c r="O156" i="13" s="1"/>
  <c r="L157" i="13"/>
  <c r="O157" i="13" s="1"/>
  <c r="L158" i="13"/>
  <c r="O158" i="13" s="1"/>
  <c r="L159" i="13"/>
  <c r="O159" i="13" s="1"/>
  <c r="L160" i="13"/>
  <c r="O160" i="13" s="1"/>
  <c r="L161" i="13"/>
  <c r="O161" i="13" s="1"/>
  <c r="L162" i="13"/>
  <c r="O162" i="13" s="1"/>
  <c r="L163" i="13"/>
  <c r="O163" i="13" s="1"/>
  <c r="L164" i="13"/>
  <c r="O164" i="13" s="1"/>
  <c r="L165" i="13"/>
  <c r="O165" i="13" s="1"/>
  <c r="L166" i="13"/>
  <c r="O166" i="13" s="1"/>
  <c r="L167" i="13"/>
  <c r="O167" i="13" s="1"/>
  <c r="L168" i="13"/>
  <c r="O168" i="13" s="1"/>
  <c r="L169" i="13"/>
  <c r="O169" i="13" s="1"/>
  <c r="L170" i="13"/>
  <c r="O170" i="13" s="1"/>
  <c r="L171" i="13"/>
  <c r="O171" i="13" s="1"/>
  <c r="L172" i="13"/>
  <c r="O172" i="13" s="1"/>
  <c r="L173" i="13"/>
  <c r="O173" i="13" s="1"/>
  <c r="L174" i="13"/>
  <c r="O174" i="13" s="1"/>
  <c r="L175" i="13"/>
  <c r="O175" i="13" s="1"/>
  <c r="L176" i="13"/>
  <c r="O176" i="13" s="1"/>
  <c r="L177" i="13"/>
  <c r="O177" i="13" s="1"/>
  <c r="L178" i="13"/>
  <c r="O178" i="13" s="1"/>
  <c r="L179" i="13"/>
  <c r="O179" i="13" s="1"/>
  <c r="L180" i="13"/>
  <c r="O180" i="13" s="1"/>
  <c r="L181" i="13"/>
  <c r="O181" i="13" s="1"/>
  <c r="L182" i="13"/>
  <c r="O182" i="13" s="1"/>
  <c r="L183" i="13"/>
  <c r="O183" i="13" s="1"/>
  <c r="L184" i="13"/>
  <c r="O184" i="13" s="1"/>
  <c r="L185" i="13"/>
  <c r="O185" i="13" s="1"/>
  <c r="L186" i="13"/>
  <c r="O186" i="13" s="1"/>
  <c r="L187" i="13"/>
  <c r="O187" i="13" s="1"/>
  <c r="L188" i="13"/>
  <c r="O188" i="13" s="1"/>
  <c r="L189" i="13"/>
  <c r="O189" i="13" s="1"/>
  <c r="L190" i="13"/>
  <c r="O190" i="13" s="1"/>
  <c r="L191" i="13"/>
  <c r="O191" i="13" s="1"/>
  <c r="L192" i="13"/>
  <c r="O192" i="13" s="1"/>
  <c r="L193" i="13"/>
  <c r="O193" i="13" s="1"/>
  <c r="L194" i="13"/>
  <c r="O194" i="13" s="1"/>
  <c r="L195" i="13"/>
  <c r="O195" i="13" s="1"/>
  <c r="L196" i="13"/>
  <c r="O196" i="13" s="1"/>
  <c r="L197" i="13"/>
  <c r="O197" i="13" s="1"/>
  <c r="L198" i="13"/>
  <c r="O198" i="13" s="1"/>
  <c r="L199" i="13"/>
  <c r="O199" i="13" s="1"/>
  <c r="L200" i="13"/>
  <c r="O200" i="13" s="1"/>
  <c r="L201" i="13"/>
  <c r="O201" i="13" s="1"/>
  <c r="L202" i="13"/>
  <c r="O202" i="13" s="1"/>
  <c r="L203" i="13"/>
  <c r="O203" i="13" s="1"/>
  <c r="L204" i="13"/>
  <c r="O204" i="13" s="1"/>
  <c r="L205" i="13"/>
  <c r="O205" i="13" s="1"/>
  <c r="L206" i="13"/>
  <c r="O206" i="13" s="1"/>
  <c r="L207" i="13"/>
  <c r="O207" i="13" s="1"/>
  <c r="L208" i="13"/>
  <c r="O208" i="13" s="1"/>
  <c r="L209" i="13"/>
  <c r="O209" i="13" s="1"/>
  <c r="L210" i="13"/>
  <c r="O210" i="13" s="1"/>
  <c r="L211" i="13"/>
  <c r="O211" i="13" s="1"/>
  <c r="L212" i="13"/>
  <c r="O212" i="13" s="1"/>
  <c r="L213" i="13"/>
  <c r="O213" i="13" s="1"/>
  <c r="L214" i="13"/>
  <c r="O214" i="13" s="1"/>
  <c r="L215" i="13"/>
  <c r="O215" i="13" s="1"/>
  <c r="L216" i="13"/>
  <c r="O216" i="13" s="1"/>
  <c r="L217" i="13"/>
  <c r="O217" i="13" s="1"/>
  <c r="L218" i="13"/>
  <c r="O218" i="13" s="1"/>
  <c r="L219" i="13"/>
  <c r="O219" i="13" s="1"/>
  <c r="L220" i="13"/>
  <c r="O220" i="13" s="1"/>
  <c r="L221" i="13"/>
  <c r="O221" i="13" s="1"/>
  <c r="L222" i="13"/>
  <c r="O222" i="13" s="1"/>
  <c r="L223" i="13"/>
  <c r="O223" i="13" s="1"/>
  <c r="L224" i="13"/>
  <c r="O224" i="13" s="1"/>
  <c r="L225" i="13"/>
  <c r="O225" i="13" s="1"/>
  <c r="L226" i="13"/>
  <c r="O226" i="13" s="1"/>
  <c r="L227" i="13"/>
  <c r="O227" i="13" s="1"/>
  <c r="L228" i="13"/>
  <c r="O228" i="13" s="1"/>
  <c r="L229" i="13"/>
  <c r="O229" i="13" s="1"/>
  <c r="L230" i="13"/>
  <c r="O230" i="13" s="1"/>
  <c r="L231" i="13"/>
  <c r="O231" i="13" s="1"/>
  <c r="L232" i="13"/>
  <c r="O232" i="13" s="1"/>
  <c r="L233" i="13"/>
  <c r="O233" i="13" s="1"/>
  <c r="L234" i="13"/>
  <c r="O234" i="13" s="1"/>
  <c r="L235" i="13"/>
  <c r="O235" i="13" s="1"/>
  <c r="L236" i="13"/>
  <c r="O236" i="13" s="1"/>
  <c r="L237" i="13"/>
  <c r="O237" i="13" s="1"/>
  <c r="L238" i="13"/>
  <c r="O238" i="13" s="1"/>
  <c r="L239" i="13"/>
  <c r="O239" i="13" s="1"/>
  <c r="L240" i="13"/>
  <c r="O240" i="13" s="1"/>
  <c r="L241" i="13"/>
  <c r="O241" i="13" s="1"/>
  <c r="L242" i="13"/>
  <c r="O242" i="13" s="1"/>
  <c r="L243" i="13"/>
  <c r="O243" i="13" s="1"/>
  <c r="L244" i="13"/>
  <c r="O244" i="13" s="1"/>
  <c r="L245" i="13"/>
  <c r="O245" i="13" s="1"/>
  <c r="L246" i="13"/>
  <c r="O246" i="13" s="1"/>
  <c r="L247" i="13"/>
  <c r="O247" i="13" s="1"/>
  <c r="L248" i="13"/>
  <c r="O248" i="13" s="1"/>
  <c r="L249" i="13"/>
  <c r="O249" i="13" s="1"/>
  <c r="L250" i="13"/>
  <c r="O250" i="13" s="1"/>
  <c r="L251" i="13"/>
  <c r="O251" i="13" s="1"/>
  <c r="L252" i="13"/>
  <c r="O252" i="13" s="1"/>
  <c r="L253" i="13"/>
  <c r="O253" i="13" s="1"/>
  <c r="L254" i="13"/>
  <c r="O254" i="13" s="1"/>
  <c r="L255" i="13"/>
  <c r="O255" i="13" s="1"/>
  <c r="L256" i="13"/>
  <c r="O256" i="13" s="1"/>
  <c r="L257" i="13"/>
  <c r="O257" i="13" s="1"/>
  <c r="L258" i="13"/>
  <c r="O258" i="13" s="1"/>
  <c r="L259" i="13"/>
  <c r="O259" i="13" s="1"/>
  <c r="L260" i="13"/>
  <c r="O260" i="13" s="1"/>
  <c r="L261" i="13"/>
  <c r="O261" i="13" s="1"/>
  <c r="L262" i="13"/>
  <c r="O262" i="13" s="1"/>
  <c r="L263" i="13"/>
  <c r="O263" i="13" s="1"/>
  <c r="L264" i="13"/>
  <c r="O264" i="13" s="1"/>
  <c r="L265" i="13"/>
  <c r="O265" i="13" s="1"/>
  <c r="L266" i="13"/>
  <c r="O266" i="13" s="1"/>
  <c r="L267" i="13"/>
  <c r="O267" i="13" s="1"/>
  <c r="L268" i="13"/>
  <c r="O268" i="13" s="1"/>
  <c r="L269" i="13"/>
  <c r="O269" i="13" s="1"/>
  <c r="L270" i="13"/>
  <c r="O270" i="13" s="1"/>
  <c r="L271" i="13"/>
  <c r="O271" i="13" s="1"/>
  <c r="L272" i="13"/>
  <c r="O272" i="13" s="1"/>
  <c r="L273" i="13"/>
  <c r="O273" i="13" s="1"/>
  <c r="L274" i="13"/>
  <c r="O274" i="13" s="1"/>
  <c r="L275" i="13"/>
  <c r="O275" i="13" s="1"/>
  <c r="L276" i="13"/>
  <c r="O276" i="13" s="1"/>
  <c r="L277" i="13"/>
  <c r="O277" i="13" s="1"/>
  <c r="L278" i="13"/>
  <c r="O278" i="13" s="1"/>
  <c r="L279" i="13"/>
  <c r="O279" i="13" s="1"/>
  <c r="L280" i="13"/>
  <c r="O280" i="13" s="1"/>
  <c r="L281" i="13"/>
  <c r="O281" i="13" s="1"/>
  <c r="L282" i="13"/>
  <c r="O282" i="13" s="1"/>
  <c r="L283" i="13"/>
  <c r="O283" i="13" s="1"/>
  <c r="L284" i="13"/>
  <c r="O284" i="13" s="1"/>
  <c r="L285" i="13"/>
  <c r="O285" i="13" s="1"/>
  <c r="L286" i="13"/>
  <c r="O286" i="13" s="1"/>
  <c r="L287" i="13"/>
  <c r="O287" i="13" s="1"/>
  <c r="L288" i="13"/>
  <c r="O288" i="13" s="1"/>
  <c r="L289" i="13"/>
  <c r="O289" i="13" s="1"/>
  <c r="L290" i="13"/>
  <c r="O290" i="13" s="1"/>
  <c r="L291" i="13"/>
  <c r="O291" i="13" s="1"/>
  <c r="L292" i="13"/>
  <c r="O292" i="13" s="1"/>
  <c r="L293" i="13"/>
  <c r="O293" i="13" s="1"/>
  <c r="L294" i="13"/>
  <c r="O294" i="13" s="1"/>
  <c r="L295" i="13"/>
  <c r="O295" i="13" s="1"/>
  <c r="L296" i="13"/>
  <c r="O296" i="13" s="1"/>
  <c r="L297" i="13"/>
  <c r="O297" i="13" s="1"/>
  <c r="L298" i="13"/>
  <c r="O298" i="13" s="1"/>
  <c r="L299" i="13"/>
  <c r="O299" i="13" s="1"/>
  <c r="L300" i="13"/>
  <c r="O300" i="13" s="1"/>
  <c r="L301" i="13"/>
  <c r="O301" i="13" s="1"/>
  <c r="L302" i="13"/>
  <c r="O302" i="13" s="1"/>
  <c r="L303" i="13"/>
  <c r="O303" i="13" s="1"/>
  <c r="L304" i="13"/>
  <c r="O304" i="13" s="1"/>
  <c r="L305" i="13"/>
  <c r="O305" i="13" s="1"/>
  <c r="L306" i="13"/>
  <c r="O306" i="13" s="1"/>
  <c r="L307" i="13"/>
  <c r="O307" i="13" s="1"/>
  <c r="L308" i="13"/>
  <c r="O308" i="13" s="1"/>
  <c r="L309" i="13"/>
  <c r="O309" i="13" s="1"/>
  <c r="L310" i="13"/>
  <c r="O310" i="13" s="1"/>
  <c r="L311" i="13"/>
  <c r="O311" i="13" s="1"/>
  <c r="L312" i="13"/>
  <c r="O312" i="13" s="1"/>
  <c r="L313" i="13"/>
  <c r="O313" i="13" s="1"/>
  <c r="L314" i="13"/>
  <c r="O314" i="13" s="1"/>
  <c r="L315" i="13"/>
  <c r="O315" i="13" s="1"/>
  <c r="L316" i="13"/>
  <c r="O316" i="13" s="1"/>
  <c r="L317" i="13"/>
  <c r="O317" i="13" s="1"/>
  <c r="L318" i="13"/>
  <c r="O318" i="13" s="1"/>
  <c r="L319" i="13"/>
  <c r="O319" i="13" s="1"/>
  <c r="L320" i="13"/>
  <c r="O320" i="13" s="1"/>
  <c r="L321" i="13"/>
  <c r="O321" i="13" s="1"/>
  <c r="L322" i="13"/>
  <c r="O322" i="13" s="1"/>
  <c r="L323" i="13"/>
  <c r="O323" i="13" s="1"/>
  <c r="L324" i="13"/>
  <c r="O324" i="13" s="1"/>
  <c r="L325" i="13"/>
  <c r="O325" i="13" s="1"/>
  <c r="L326" i="13"/>
  <c r="O326" i="13" s="1"/>
  <c r="L327" i="13"/>
  <c r="O327" i="13" s="1"/>
  <c r="L328" i="13"/>
  <c r="O328" i="13" s="1"/>
  <c r="L329" i="13"/>
  <c r="O329" i="13" s="1"/>
  <c r="L330" i="13"/>
  <c r="O330" i="13" s="1"/>
  <c r="L331" i="13"/>
  <c r="O331" i="13" s="1"/>
  <c r="L332" i="13"/>
  <c r="O332" i="13" s="1"/>
  <c r="L333" i="13"/>
  <c r="O333" i="13" s="1"/>
  <c r="L334" i="13"/>
  <c r="O334" i="13" s="1"/>
  <c r="L335" i="13"/>
  <c r="O335" i="13" s="1"/>
  <c r="L336" i="13"/>
  <c r="O336" i="13" s="1"/>
  <c r="L337" i="13"/>
  <c r="O337" i="13" s="1"/>
  <c r="L338" i="13"/>
  <c r="O338" i="13" s="1"/>
  <c r="L339" i="13"/>
  <c r="O339" i="13" s="1"/>
  <c r="L340" i="13"/>
  <c r="O340" i="13" s="1"/>
  <c r="L341" i="13"/>
  <c r="O341" i="13" s="1"/>
  <c r="L342" i="13"/>
  <c r="O342" i="13" s="1"/>
  <c r="L343" i="13"/>
  <c r="O343" i="13" s="1"/>
  <c r="L344" i="13"/>
  <c r="O344" i="13" s="1"/>
  <c r="L345" i="13"/>
  <c r="O345" i="13" s="1"/>
  <c r="L346" i="13"/>
  <c r="O346" i="13" s="1"/>
  <c r="L347" i="13"/>
  <c r="O347" i="13" s="1"/>
  <c r="L348" i="13"/>
  <c r="O348" i="13" s="1"/>
  <c r="L349" i="13"/>
  <c r="O349" i="13" s="1"/>
  <c r="L350" i="13"/>
  <c r="O350" i="13" s="1"/>
  <c r="L351" i="13"/>
  <c r="O351" i="13" s="1"/>
  <c r="L352" i="13"/>
  <c r="O352" i="13" s="1"/>
  <c r="L353" i="13"/>
  <c r="O353" i="13" s="1"/>
  <c r="L354" i="13"/>
  <c r="O354" i="13" s="1"/>
  <c r="L355" i="13"/>
  <c r="O355" i="13" s="1"/>
  <c r="L356" i="13"/>
  <c r="O356" i="13" s="1"/>
  <c r="L357" i="13"/>
  <c r="O357" i="13" s="1"/>
  <c r="L358" i="13"/>
  <c r="O358" i="13" s="1"/>
  <c r="L359" i="13"/>
  <c r="O359" i="13" s="1"/>
  <c r="L360" i="13"/>
  <c r="O360" i="13" s="1"/>
  <c r="L361" i="13"/>
  <c r="O361" i="13" s="1"/>
  <c r="L362" i="13"/>
  <c r="O362" i="13" s="1"/>
  <c r="L363" i="13"/>
  <c r="O363" i="13" s="1"/>
  <c r="L364" i="13"/>
  <c r="O364" i="13" s="1"/>
  <c r="L365" i="13"/>
  <c r="O365" i="13" s="1"/>
  <c r="L366" i="13"/>
  <c r="O366" i="13" s="1"/>
  <c r="L367" i="13"/>
  <c r="O367" i="13" s="1"/>
  <c r="L368" i="13"/>
  <c r="O368" i="13" s="1"/>
  <c r="L369" i="13"/>
  <c r="O369" i="13" s="1"/>
  <c r="L370" i="13"/>
  <c r="O370" i="13" s="1"/>
  <c r="L371" i="13"/>
  <c r="O371" i="13" s="1"/>
  <c r="L372" i="13"/>
  <c r="O372" i="13" s="1"/>
  <c r="L373" i="13"/>
  <c r="O373" i="13" s="1"/>
  <c r="L374" i="13"/>
  <c r="O374" i="13" s="1"/>
  <c r="L375" i="13"/>
  <c r="O375" i="13" s="1"/>
  <c r="L376" i="13"/>
  <c r="O376" i="13" s="1"/>
  <c r="L377" i="13"/>
  <c r="O377" i="13" s="1"/>
  <c r="L378" i="13"/>
  <c r="O378" i="13" s="1"/>
  <c r="L379" i="13"/>
  <c r="O379" i="13" s="1"/>
  <c r="L380" i="13"/>
  <c r="O380" i="13" s="1"/>
  <c r="L381" i="13"/>
  <c r="O381" i="13" s="1"/>
  <c r="L382" i="13"/>
  <c r="O382" i="13" s="1"/>
  <c r="L383" i="13"/>
  <c r="O383" i="13" s="1"/>
  <c r="L384" i="13"/>
  <c r="O384" i="13" s="1"/>
  <c r="L385" i="13"/>
  <c r="O385" i="13" s="1"/>
  <c r="L386" i="13"/>
  <c r="O386" i="13" s="1"/>
  <c r="L387" i="13"/>
  <c r="O387" i="13" s="1"/>
  <c r="L388" i="13"/>
  <c r="O388" i="13" s="1"/>
  <c r="L389" i="13"/>
  <c r="O389" i="13" s="1"/>
  <c r="L390" i="13"/>
  <c r="O390" i="13" s="1"/>
  <c r="L391" i="13"/>
  <c r="O391" i="13" s="1"/>
  <c r="L392" i="13"/>
  <c r="O392" i="13" s="1"/>
  <c r="L393" i="13"/>
  <c r="O393" i="13" s="1"/>
  <c r="L394" i="13"/>
  <c r="O394" i="13" s="1"/>
  <c r="L395" i="13"/>
  <c r="O395" i="13" s="1"/>
  <c r="L396" i="13"/>
  <c r="O396" i="13" s="1"/>
  <c r="L397" i="13"/>
  <c r="O397" i="13" s="1"/>
  <c r="L398" i="13"/>
  <c r="O398" i="13" s="1"/>
  <c r="L399" i="13"/>
  <c r="O399" i="13" s="1"/>
  <c r="L400" i="13"/>
  <c r="O400" i="13" s="1"/>
  <c r="L401" i="13"/>
  <c r="O401" i="13" s="1"/>
  <c r="N2" i="13"/>
  <c r="M2" i="13"/>
  <c r="L2" i="13"/>
  <c r="O2" i="13" s="1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N2" i="12"/>
  <c r="M2" i="12"/>
  <c r="L2" i="12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3" i="11"/>
  <c r="N4" i="11"/>
  <c r="N5" i="11"/>
  <c r="N6" i="11"/>
  <c r="N7" i="11"/>
  <c r="N8" i="11"/>
  <c r="N9" i="11"/>
  <c r="N2" i="11"/>
  <c r="L401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M2" i="11"/>
  <c r="L2" i="11"/>
  <c r="M2" i="9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2" i="10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2" i="7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" i="6"/>
  <c r="V11" i="5"/>
  <c r="T11" i="5"/>
  <c r="R11" i="5"/>
  <c r="P11" i="5"/>
  <c r="N11" i="5"/>
</calcChain>
</file>

<file path=xl/sharedStrings.xml><?xml version="1.0" encoding="utf-8"?>
<sst xmlns="http://schemas.openxmlformats.org/spreadsheetml/2006/main" count="30259" uniqueCount="90">
  <si>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</si>
  <si>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</si>
  <si>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</si>
  <si>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</si>
  <si>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</si>
  <si>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</si>
  <si>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</si>
  <si>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</si>
  <si>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</si>
  <si>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</si>
  <si>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</si>
  <si>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</si>
  <si>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</si>
  <si>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</si>
  <si>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</si>
  <si>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</si>
  <si>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</si>
  <si>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</si>
  <si>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</si>
  <si>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</si>
  <si>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</si>
  <si>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</si>
  <si>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</si>
  <si>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</si>
  <si>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</si>
  <si>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</si>
  <si>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</si>
  <si>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</si>
  <si>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</si>
  <si>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</si>
  <si>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</si>
  <si>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</si>
  <si>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</si>
  <si>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</si>
  <si>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</si>
  <si>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</si>
  <si>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</si>
  <si>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</si>
  <si>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</si>
  <si>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</si>
  <si>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</si>
  <si>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</si>
  <si>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</si>
  <si>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</si>
  <si>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</si>
  <si>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</si>
  <si>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</si>
  <si>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</si>
  <si>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</si>
  <si>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</si>
  <si>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</si>
  <si>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</si>
  <si>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</si>
  <si>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</si>
  <si>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</si>
  <si>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</si>
  <si>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</si>
  <si>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</si>
  <si>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</si>
  <si>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</si>
  <si>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</si>
  <si>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</si>
  <si>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Total Quantity sold-</t>
  </si>
  <si>
    <t>Average</t>
  </si>
  <si>
    <t>Minimum</t>
  </si>
  <si>
    <t>Maximum</t>
  </si>
  <si>
    <t>Order Type</t>
  </si>
  <si>
    <t>Total No. Of Order</t>
  </si>
  <si>
    <t>Discount Eligibility</t>
  </si>
  <si>
    <t>Priority Order</t>
  </si>
  <si>
    <t>Final Amount</t>
  </si>
  <si>
    <t>Sales Grade</t>
  </si>
  <si>
    <t>Customer_Product</t>
  </si>
  <si>
    <t>Customer Code</t>
  </si>
  <si>
    <t>Product Code</t>
  </si>
  <si>
    <t>Short Product Name</t>
  </si>
  <si>
    <t>Customer_Upper</t>
  </si>
  <si>
    <t>Product_Lower</t>
  </si>
  <si>
    <t xml:space="preserve">Product_Length </t>
  </si>
  <si>
    <t>Current_DATE</t>
  </si>
  <si>
    <t>Current_Date_Time</t>
  </si>
  <si>
    <t>Delivery_Days</t>
  </si>
  <si>
    <t>Order_Age</t>
  </si>
  <si>
    <t>FY_Start_Date</t>
  </si>
  <si>
    <t>Total Sales</t>
  </si>
  <si>
    <t>Row Labels</t>
  </si>
  <si>
    <t>Grand Total</t>
  </si>
  <si>
    <t>Sum of Order_ID</t>
  </si>
  <si>
    <t>Highest Final Amount</t>
  </si>
  <si>
    <t xml:space="preserve"> This is the top 10 orders of the dataset in descending order based on Final Amount 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</si>
</sst>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[$-F800]dddd\,\ mmmm\ dd\,\ yyyy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u/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7" fillId="4" borderId="0" xfId="0" applyFont="1" applyFill="1"/>
    <xf numFmtId="0" fontId="6" fillId="6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11" fillId="0" borderId="0" xfId="0" applyFont="1"/>
    <xf numFmtId="0" fontId="0" fillId="11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7" borderId="1" xfId="0" applyNumberFormat="1" applyFont="1" applyFill="1" applyBorder="1" applyAlignment="1">
      <alignment horizontal="center"/>
    </xf>
    <xf numFmtId="22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ill="1" applyBorder="1"/>
    <xf numFmtId="170" fontId="0" fillId="7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4.535071874998" createdVersion="8" refreshedVersion="8" minRefreshableVersion="3" recordCount="400" xr:uid="{DA7BE552-CF36-4645-9795-09ADB1813313}">
  <cacheSource type="worksheet">
    <worksheetSource ref="A1:L401" sheet="SalesData-Q (14-A)"/>
  </cacheSource>
  <cacheFields count="12">
    <cacheField name="Order_ID" numFmtId="0">
      <sharedItems containsSemiMixedTypes="0" containsString="0" containsNumber="1" containsInteger="1" minValue="1001" maxValue="1400"/>
    </cacheField>
    <cacheField name="Customer" numFmtId="0">
      <sharedItems/>
    </cacheField>
    <cacheField name="City" numFmtId="0">
      <sharedItems count="8">
        <s v="Pune"/>
        <s v="Kolhapur"/>
        <s v="Aurangabad"/>
        <s v="Nagpur"/>
        <s v="Satara"/>
        <s v="Nashik"/>
        <s v="Mumbai"/>
        <s v="Solapur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30" maxValue="69793"/>
    </cacheField>
    <cacheField name="Discount_%" numFmtId="0">
      <sharedItems containsSemiMixedTypes="0" containsString="0" containsNumber="1" containsInteger="1" minValue="0" maxValue="15"/>
    </cacheField>
    <cacheField name="Order_Date" numFmtId="164">
      <sharedItems containsSemiMixedTypes="0" containsNonDate="0" containsDate="1" containsString="0" minDate="2026-01-01T00:00:00" maxDate="2026-06-30T00:00:00"/>
    </cacheField>
    <cacheField name="Delivery_Date" numFmtId="164">
      <sharedItems containsSemiMixedTypes="0" containsNonDate="0" containsDate="1" containsString="0" minDate="2026-01-07T00:00:00" maxDate="2026-07-07T00:00:00"/>
    </cacheField>
    <cacheField name="Salesperson" numFmtId="0">
      <sharedItems/>
    </cacheField>
    <cacheField name="Final Amount" numFmtId="0">
      <sharedItems containsSemiMixedTypes="0" containsString="0" containsNumber="1" minValue="50" maxValue="1219742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245"/>
    <s v="Sneha"/>
    <x v="0"/>
    <s v="Electronics"/>
    <s v="Headset"/>
    <n v="19"/>
    <n v="69029"/>
    <n v="7"/>
    <d v="2026-06-03T00:00:00"/>
    <d v="2026-06-06T00:00:00"/>
    <s v="Priya"/>
    <n v="1219742.43"/>
  </r>
  <r>
    <n v="1090"/>
    <s v="Ajay"/>
    <x v="1"/>
    <s v="Electronics"/>
    <s v="Monitor"/>
    <n v="19"/>
    <n v="66139"/>
    <n v="5"/>
    <d v="2026-03-07T00:00:00"/>
    <d v="2026-03-14T00:00:00"/>
    <s v="Rahul"/>
    <n v="1193808.95"/>
  </r>
  <r>
    <n v="1072"/>
    <s v="Pooja"/>
    <x v="2"/>
    <s v="Electronics"/>
    <s v="Mouse"/>
    <n v="20"/>
    <n v="58779"/>
    <n v="0"/>
    <d v="2026-01-13T00:00:00"/>
    <d v="2026-01-14T00:00:00"/>
    <s v="Rahul"/>
    <n v="1175580"/>
  </r>
  <r>
    <n v="1349"/>
    <s v="Deepak"/>
    <x v="3"/>
    <s v="Electronics"/>
    <s v="Printer"/>
    <n v="20"/>
    <n v="62721"/>
    <n v="7"/>
    <d v="2026-02-26T00:00:00"/>
    <d v="2026-03-02T00:00:00"/>
    <s v="Amit"/>
    <n v="1166610.5999999999"/>
  </r>
  <r>
    <n v="1375"/>
    <s v="Kiran"/>
    <x v="0"/>
    <s v="Electronics"/>
    <s v="Monitor"/>
    <n v="20"/>
    <n v="56766"/>
    <n v="0"/>
    <d v="2026-01-30T00:00:00"/>
    <d v="2026-02-08T00:00:00"/>
    <s v="Rahul"/>
    <n v="1135320"/>
  </r>
  <r>
    <n v="1187"/>
    <s v="Manoj"/>
    <x v="4"/>
    <s v="Electronics"/>
    <s v="Monitor"/>
    <n v="18"/>
    <n v="68527"/>
    <n v="12"/>
    <d v="2026-06-05T00:00:00"/>
    <d v="2026-06-11T00:00:00"/>
    <s v="Suresh"/>
    <n v="1085467.68"/>
  </r>
  <r>
    <n v="1279"/>
    <s v="Sneha"/>
    <x v="3"/>
    <s v="Electronics"/>
    <s v="Monitor"/>
    <n v="20"/>
    <n v="49042"/>
    <n v="2"/>
    <d v="2026-04-12T00:00:00"/>
    <d v="2026-04-14T00:00:00"/>
    <s v="Kavya"/>
    <n v="961223.2"/>
  </r>
  <r>
    <n v="1135"/>
    <s v="Ajay"/>
    <x v="0"/>
    <s v="Electronics"/>
    <s v="Keyboard"/>
    <n v="14"/>
    <n v="68534"/>
    <n v="0"/>
    <d v="2026-01-19T00:00:00"/>
    <d v="2026-01-20T00:00:00"/>
    <s v="Kavya"/>
    <n v="959476"/>
  </r>
  <r>
    <n v="1061"/>
    <s v="Sara"/>
    <x v="5"/>
    <s v="Electronics"/>
    <s v="Headset"/>
    <n v="16"/>
    <n v="59084"/>
    <n v="0"/>
    <d v="2026-02-07T00:00:00"/>
    <d v="2026-02-16T00:00:00"/>
    <s v="Amit"/>
    <n v="945344"/>
  </r>
  <r>
    <n v="1260"/>
    <s v="Manoj"/>
    <x v="6"/>
    <s v="Electronics"/>
    <s v="Headset"/>
    <n v="19"/>
    <n v="54981"/>
    <n v="10"/>
    <d v="2026-01-18T00:00:00"/>
    <d v="2026-01-23T00:00:00"/>
    <s v="Priya"/>
    <n v="940175.1"/>
  </r>
  <r>
    <n v="1270"/>
    <s v="Ajay"/>
    <x v="0"/>
    <s v="Electronics"/>
    <s v="Printer"/>
    <n v="16"/>
    <n v="62941"/>
    <n v="7"/>
    <d v="2026-04-23T00:00:00"/>
    <d v="2026-04-29T00:00:00"/>
    <s v="Suresh"/>
    <n v="936562.08"/>
  </r>
  <r>
    <n v="1319"/>
    <s v="Meera"/>
    <x v="7"/>
    <s v="Electronics"/>
    <s v="Mouse"/>
    <n v="17"/>
    <n v="58407"/>
    <n v="7"/>
    <d v="2026-03-13T00:00:00"/>
    <d v="2026-03-21T00:00:00"/>
    <s v="Kavya"/>
    <n v="923414.66999999993"/>
  </r>
  <r>
    <n v="1251"/>
    <s v="Sneha"/>
    <x v="6"/>
    <s v="Electronics"/>
    <s v="Mouse"/>
    <n v="19"/>
    <n v="48548"/>
    <n v="0"/>
    <d v="2026-03-31T00:00:00"/>
    <d v="2026-04-09T00:00:00"/>
    <s v="Suresh"/>
    <n v="922412"/>
  </r>
  <r>
    <n v="1200"/>
    <s v="Priya"/>
    <x v="1"/>
    <s v="Electronics"/>
    <s v="Monitor"/>
    <n v="13"/>
    <n v="69422"/>
    <n v="0"/>
    <d v="2026-04-22T00:00:00"/>
    <d v="2026-05-01T00:00:00"/>
    <s v="Priya"/>
    <n v="902486"/>
  </r>
  <r>
    <n v="1014"/>
    <s v="Deepak"/>
    <x v="7"/>
    <s v="Electronics"/>
    <s v="Headset"/>
    <n v="19"/>
    <n v="53683"/>
    <n v="12"/>
    <d v="2026-04-17T00:00:00"/>
    <d v="2026-04-22T00:00:00"/>
    <s v="Priya"/>
    <n v="897579.76"/>
  </r>
  <r>
    <n v="1253"/>
    <s v="Meera"/>
    <x v="1"/>
    <s v="Electronics"/>
    <s v="Monitor"/>
    <n v="20"/>
    <n v="47880"/>
    <n v="7"/>
    <d v="2026-02-21T00:00:00"/>
    <d v="2026-02-22T00:00:00"/>
    <s v="Priya"/>
    <n v="890567.99999999988"/>
  </r>
  <r>
    <n v="1043"/>
    <s v="Ajay"/>
    <x v="6"/>
    <s v="Electronics"/>
    <s v="Printer"/>
    <n v="20"/>
    <n v="46093"/>
    <n v="5"/>
    <d v="2026-03-10T00:00:00"/>
    <d v="2026-03-17T00:00:00"/>
    <s v="Priya"/>
    <n v="875767"/>
  </r>
  <r>
    <n v="1081"/>
    <s v="Yash"/>
    <x v="5"/>
    <s v="Electronics"/>
    <s v="Printer"/>
    <n v="15"/>
    <n v="59912"/>
    <n v="7"/>
    <d v="2026-02-05T00:00:00"/>
    <d v="2026-02-07T00:00:00"/>
    <s v="Suresh"/>
    <n v="835772.39999999991"/>
  </r>
  <r>
    <n v="1088"/>
    <s v="Deepak"/>
    <x v="3"/>
    <s v="Electronics"/>
    <s v="Headset"/>
    <n v="20"/>
    <n v="41165"/>
    <n v="0"/>
    <d v="2026-02-15T00:00:00"/>
    <d v="2026-02-16T00:00:00"/>
    <s v="Amit"/>
    <n v="823300"/>
  </r>
  <r>
    <n v="1079"/>
    <s v="Vikram"/>
    <x v="6"/>
    <s v="Electronics"/>
    <s v="Headset"/>
    <n v="19"/>
    <n v="48956"/>
    <n v="12"/>
    <d v="2026-05-28T00:00:00"/>
    <d v="2026-06-04T00:00:00"/>
    <s v="Suresh"/>
    <n v="818544.32"/>
  </r>
  <r>
    <n v="1366"/>
    <s v="Vikram"/>
    <x v="7"/>
    <s v="Electronics"/>
    <s v="Mouse"/>
    <n v="20"/>
    <n v="44312"/>
    <n v="10"/>
    <d v="2026-01-25T00:00:00"/>
    <d v="2026-02-01T00:00:00"/>
    <s v="Priya"/>
    <n v="797616"/>
  </r>
  <r>
    <n v="1315"/>
    <s v="Ajay"/>
    <x v="1"/>
    <s v="Electronics"/>
    <s v="Headset"/>
    <n v="14"/>
    <n v="57670"/>
    <n v="2"/>
    <d v="2026-06-13T00:00:00"/>
    <d v="2026-06-23T00:00:00"/>
    <s v="Kavya"/>
    <n v="791232.4"/>
  </r>
  <r>
    <n v="1374"/>
    <s v="Sara"/>
    <x v="3"/>
    <s v="Electronics"/>
    <s v="Printer"/>
    <n v="12"/>
    <n v="66052"/>
    <n v="2"/>
    <d v="2026-02-10T00:00:00"/>
    <d v="2026-02-13T00:00:00"/>
    <s v="Suresh"/>
    <n v="776771.52"/>
  </r>
  <r>
    <n v="1356"/>
    <s v="Vikram"/>
    <x v="6"/>
    <s v="Electronics"/>
    <s v="Laptop"/>
    <n v="16"/>
    <n v="53457"/>
    <n v="10"/>
    <d v="2026-06-28T00:00:00"/>
    <d v="2026-07-01T00:00:00"/>
    <s v="Kavya"/>
    <n v="769780.8"/>
  </r>
  <r>
    <n v="1085"/>
    <s v="Asha"/>
    <x v="6"/>
    <s v="Electronics"/>
    <s v="Laptop"/>
    <n v="19"/>
    <n v="45307"/>
    <n v="12"/>
    <d v="2026-05-04T00:00:00"/>
    <d v="2026-05-08T00:00:00"/>
    <s v="Rahul"/>
    <n v="757533.04"/>
  </r>
  <r>
    <n v="1308"/>
    <s v="Neha"/>
    <x v="4"/>
    <s v="Electronics"/>
    <s v="Headset"/>
    <n v="12"/>
    <n v="66075"/>
    <n v="5"/>
    <d v="2026-04-17T00:00:00"/>
    <d v="2026-04-23T00:00:00"/>
    <s v="Amit"/>
    <n v="753255"/>
  </r>
  <r>
    <n v="1019"/>
    <s v="Ritesh"/>
    <x v="0"/>
    <s v="Electronics"/>
    <s v="Headset"/>
    <n v="18"/>
    <n v="45652"/>
    <n v="10"/>
    <d v="2026-01-01T00:00:00"/>
    <d v="2026-01-08T00:00:00"/>
    <s v="Amit"/>
    <n v="739562.4"/>
  </r>
  <r>
    <n v="1102"/>
    <s v="Manoj"/>
    <x v="2"/>
    <s v="Electronics"/>
    <s v="Monitor"/>
    <n v="12"/>
    <n v="63402"/>
    <n v="7"/>
    <d v="2026-03-25T00:00:00"/>
    <d v="2026-04-01T00:00:00"/>
    <s v="Suresh"/>
    <n v="707566.32"/>
  </r>
  <r>
    <n v="1176"/>
    <s v="Rohan"/>
    <x v="6"/>
    <s v="Electronics"/>
    <s v="Headset"/>
    <n v="17"/>
    <n v="46937"/>
    <n v="12"/>
    <d v="2026-01-26T00:00:00"/>
    <d v="2026-02-03T00:00:00"/>
    <s v="Priya"/>
    <n v="702177.52"/>
  </r>
  <r>
    <n v="1385"/>
    <s v="Vikram"/>
    <x v="3"/>
    <s v="Electronics"/>
    <s v="Keyboard"/>
    <n v="12"/>
    <n v="61360"/>
    <n v="10"/>
    <d v="2026-01-26T00:00:00"/>
    <d v="2026-01-31T00:00:00"/>
    <s v="Suresh"/>
    <n v="662688"/>
  </r>
  <r>
    <n v="1355"/>
    <s v="Arjun"/>
    <x v="5"/>
    <s v="Electronics"/>
    <s v="Laptop"/>
    <n v="18"/>
    <n v="35997"/>
    <n v="2"/>
    <d v="2026-01-02T00:00:00"/>
    <d v="2026-01-09T00:00:00"/>
    <s v="Suresh"/>
    <n v="634987.07999999996"/>
  </r>
  <r>
    <n v="1122"/>
    <s v="Deepak"/>
    <x v="4"/>
    <s v="Electronics"/>
    <s v="Keyboard"/>
    <n v="14"/>
    <n v="49990"/>
    <n v="10"/>
    <d v="2026-04-20T00:00:00"/>
    <d v="2026-04-23T00:00:00"/>
    <s v="Priya"/>
    <n v="629874"/>
  </r>
  <r>
    <n v="1271"/>
    <s v="Deepak"/>
    <x v="3"/>
    <s v="Electronics"/>
    <s v="Laptop"/>
    <n v="20"/>
    <n v="36941"/>
    <n v="15"/>
    <d v="2026-03-02T00:00:00"/>
    <d v="2026-03-04T00:00:00"/>
    <s v="Priya"/>
    <n v="627997"/>
  </r>
  <r>
    <n v="1387"/>
    <s v="Manoj"/>
    <x v="3"/>
    <s v="Electronics"/>
    <s v="Printer"/>
    <n v="11"/>
    <n v="56515"/>
    <n v="5"/>
    <d v="2026-03-21T00:00:00"/>
    <d v="2026-03-31T00:00:00"/>
    <s v="Rahul"/>
    <n v="590581.75"/>
  </r>
  <r>
    <n v="1400"/>
    <s v="Deepak"/>
    <x v="4"/>
    <s v="Electronics"/>
    <s v="Printer"/>
    <n v="13"/>
    <n v="52411"/>
    <n v="15"/>
    <d v="2026-03-09T00:00:00"/>
    <d v="2026-03-11T00:00:00"/>
    <s v="Amit"/>
    <n v="579141.54999999993"/>
  </r>
  <r>
    <n v="1384"/>
    <s v="Anita"/>
    <x v="5"/>
    <s v="Electronics"/>
    <s v="Keyboard"/>
    <n v="15"/>
    <n v="38116"/>
    <n v="0"/>
    <d v="2026-02-21T00:00:00"/>
    <d v="2026-02-25T00:00:00"/>
    <s v="Priya"/>
    <n v="571740"/>
  </r>
  <r>
    <n v="1334"/>
    <s v="Deepak"/>
    <x v="5"/>
    <s v="Electronics"/>
    <s v="Headset"/>
    <n v="15"/>
    <n v="39853"/>
    <n v="7"/>
    <d v="2026-01-16T00:00:00"/>
    <d v="2026-01-25T00:00:00"/>
    <s v="Suresh"/>
    <n v="555949.35"/>
  </r>
  <r>
    <n v="1080"/>
    <s v="Meera"/>
    <x v="4"/>
    <s v="Electronics"/>
    <s v="Headset"/>
    <n v="12"/>
    <n v="54161"/>
    <n v="15"/>
    <d v="2026-04-21T00:00:00"/>
    <d v="2026-05-01T00:00:00"/>
    <s v="Rahul"/>
    <n v="552442.19999999995"/>
  </r>
  <r>
    <n v="1163"/>
    <s v="Priya"/>
    <x v="6"/>
    <s v="Electronics"/>
    <s v="Keyboard"/>
    <n v="9"/>
    <n v="62440"/>
    <n v="2"/>
    <d v="2026-02-28T00:00:00"/>
    <d v="2026-03-05T00:00:00"/>
    <s v="Priya"/>
    <n v="550720.80000000005"/>
  </r>
  <r>
    <n v="1071"/>
    <s v="Anita"/>
    <x v="4"/>
    <s v="Electronics"/>
    <s v="Mouse"/>
    <n v="18"/>
    <n v="32197"/>
    <n v="5"/>
    <d v="2026-04-17T00:00:00"/>
    <d v="2026-04-25T00:00:00"/>
    <s v="Amit"/>
    <n v="550568.69999999995"/>
  </r>
  <r>
    <n v="1272"/>
    <s v="Komal"/>
    <x v="6"/>
    <s v="Electronics"/>
    <s v="Headset"/>
    <n v="13"/>
    <n v="42179"/>
    <n v="0"/>
    <d v="2026-02-25T00:00:00"/>
    <d v="2026-03-03T00:00:00"/>
    <s v="Amit"/>
    <n v="548327"/>
  </r>
  <r>
    <n v="1345"/>
    <s v="Asha"/>
    <x v="5"/>
    <s v="Electronics"/>
    <s v="Monitor"/>
    <n v="12"/>
    <n v="50544"/>
    <n v="10"/>
    <d v="2026-03-14T00:00:00"/>
    <d v="2026-03-16T00:00:00"/>
    <s v="Priya"/>
    <n v="545875.20000000007"/>
  </r>
  <r>
    <n v="1305"/>
    <s v="Rohan"/>
    <x v="1"/>
    <s v="Electronics"/>
    <s v="Laptop"/>
    <n v="20"/>
    <n v="31406"/>
    <n v="15"/>
    <d v="2026-05-04T00:00:00"/>
    <d v="2026-05-12T00:00:00"/>
    <s v="Suresh"/>
    <n v="533902"/>
  </r>
  <r>
    <n v="1342"/>
    <s v="Anita"/>
    <x v="1"/>
    <s v="Electronics"/>
    <s v="Printer"/>
    <n v="13"/>
    <n v="47881"/>
    <n v="15"/>
    <d v="2026-04-20T00:00:00"/>
    <d v="2026-04-27T00:00:00"/>
    <s v="Priya"/>
    <n v="529085.04999999993"/>
  </r>
  <r>
    <n v="1184"/>
    <s v="Deepak"/>
    <x v="1"/>
    <s v="Electronics"/>
    <s v="Keyboard"/>
    <n v="12"/>
    <n v="50517"/>
    <n v="15"/>
    <d v="2026-05-03T00:00:00"/>
    <d v="2026-05-11T00:00:00"/>
    <s v="Priya"/>
    <n v="515273.39999999997"/>
  </r>
  <r>
    <n v="1142"/>
    <s v="Deepak"/>
    <x v="2"/>
    <s v="Electronics"/>
    <s v="Laptop"/>
    <n v="9"/>
    <n v="59788"/>
    <n v="7"/>
    <d v="2026-02-11T00:00:00"/>
    <d v="2026-02-18T00:00:00"/>
    <s v="Priya"/>
    <n v="500425.55999999994"/>
  </r>
  <r>
    <n v="1172"/>
    <s v="Pooja"/>
    <x v="5"/>
    <s v="Electronics"/>
    <s v="Monitor"/>
    <n v="13"/>
    <n v="43163"/>
    <n v="12"/>
    <d v="2026-04-08T00:00:00"/>
    <d v="2026-04-17T00:00:00"/>
    <s v="Rahul"/>
    <n v="493784.72000000003"/>
  </r>
  <r>
    <n v="1117"/>
    <s v="Sneha"/>
    <x v="0"/>
    <s v="Electronics"/>
    <s v="Keyboard"/>
    <n v="16"/>
    <n v="33162"/>
    <n v="7"/>
    <d v="2026-05-05T00:00:00"/>
    <d v="2026-05-13T00:00:00"/>
    <s v="Priya"/>
    <n v="493450.55999999994"/>
  </r>
  <r>
    <n v="1076"/>
    <s v="Priya"/>
    <x v="7"/>
    <s v="Electronics"/>
    <s v="Printer"/>
    <n v="19"/>
    <n v="26714"/>
    <n v="5"/>
    <d v="2026-01-23T00:00:00"/>
    <d v="2026-02-02T00:00:00"/>
    <s v="Priya"/>
    <n v="482187.69999999995"/>
  </r>
  <r>
    <n v="1216"/>
    <s v="Deepak"/>
    <x v="4"/>
    <s v="Electronics"/>
    <s v="Monitor"/>
    <n v="10"/>
    <n v="56709"/>
    <n v="15"/>
    <d v="2026-04-23T00:00:00"/>
    <d v="2026-04-27T00:00:00"/>
    <s v="Priya"/>
    <n v="482026.5"/>
  </r>
  <r>
    <n v="1146"/>
    <s v="Pooja"/>
    <x v="0"/>
    <s v="Electronics"/>
    <s v="Monitor"/>
    <n v="7"/>
    <n v="68217"/>
    <n v="0"/>
    <d v="2026-06-17T00:00:00"/>
    <d v="2026-06-24T00:00:00"/>
    <s v="Priya"/>
    <n v="477519"/>
  </r>
  <r>
    <n v="1289"/>
    <s v="Vikram"/>
    <x v="4"/>
    <s v="Electronics"/>
    <s v="Monitor"/>
    <n v="19"/>
    <n v="25336"/>
    <n v="2"/>
    <d v="2026-04-10T00:00:00"/>
    <d v="2026-04-18T00:00:00"/>
    <s v="Rahul"/>
    <n v="471756.32"/>
  </r>
  <r>
    <n v="1182"/>
    <s v="Nisha"/>
    <x v="5"/>
    <s v="Electronics"/>
    <s v="Keyboard"/>
    <n v="8"/>
    <n v="66022"/>
    <n v="12"/>
    <d v="2026-03-27T00:00:00"/>
    <d v="2026-04-02T00:00:00"/>
    <s v="Rahul"/>
    <n v="464794.88"/>
  </r>
  <r>
    <n v="1373"/>
    <s v="Manoj"/>
    <x v="2"/>
    <s v="Electronics"/>
    <s v="Laptop"/>
    <n v="11"/>
    <n v="47930"/>
    <n v="12"/>
    <d v="2026-06-18T00:00:00"/>
    <d v="2026-06-28T00:00:00"/>
    <s v="Amit"/>
    <n v="463962.4"/>
  </r>
  <r>
    <n v="1325"/>
    <s v="Nitin"/>
    <x v="0"/>
    <s v="Electronics"/>
    <s v="Keyboard"/>
    <n v="9"/>
    <n v="58442"/>
    <n v="12"/>
    <d v="2026-02-23T00:00:00"/>
    <d v="2026-03-04T00:00:00"/>
    <s v="Amit"/>
    <n v="462860.64"/>
  </r>
  <r>
    <n v="1225"/>
    <s v="Nisha"/>
    <x v="1"/>
    <s v="Electronics"/>
    <s v="Printer"/>
    <n v="16"/>
    <n v="32262"/>
    <n v="12"/>
    <d v="2026-04-13T00:00:00"/>
    <d v="2026-04-14T00:00:00"/>
    <s v="Amit"/>
    <n v="454248.96000000002"/>
  </r>
  <r>
    <n v="1288"/>
    <s v="Manoj"/>
    <x v="4"/>
    <s v="Electronics"/>
    <s v="Laptop"/>
    <n v="14"/>
    <n v="35601"/>
    <n v="10"/>
    <d v="2026-06-06T00:00:00"/>
    <d v="2026-06-14T00:00:00"/>
    <s v="Priya"/>
    <n v="448572.60000000003"/>
  </r>
  <r>
    <n v="1317"/>
    <s v="Anita"/>
    <x v="3"/>
    <s v="Electronics"/>
    <s v="Headset"/>
    <n v="7"/>
    <n v="67339"/>
    <n v="5"/>
    <d v="2026-05-17T00:00:00"/>
    <d v="2026-05-27T00:00:00"/>
    <s v="Suresh"/>
    <n v="447804.35"/>
  </r>
  <r>
    <n v="1139"/>
    <s v="Sneha"/>
    <x v="3"/>
    <s v="Electronics"/>
    <s v="Mouse"/>
    <n v="17"/>
    <n v="28839"/>
    <n v="10"/>
    <d v="2026-03-12T00:00:00"/>
    <d v="2026-03-18T00:00:00"/>
    <s v="Kavya"/>
    <n v="441236.7"/>
  </r>
  <r>
    <n v="1393"/>
    <s v="Neha"/>
    <x v="2"/>
    <s v="Electronics"/>
    <s v="Monitor"/>
    <n v="17"/>
    <n v="30351"/>
    <n v="15"/>
    <d v="2026-01-25T00:00:00"/>
    <d v="2026-01-29T00:00:00"/>
    <s v="Suresh"/>
    <n v="438571.95"/>
  </r>
  <r>
    <n v="1063"/>
    <s v="Manoj"/>
    <x v="4"/>
    <s v="Electronics"/>
    <s v="Monitor"/>
    <n v="7"/>
    <n v="66744"/>
    <n v="7"/>
    <d v="2026-05-06T00:00:00"/>
    <d v="2026-05-13T00:00:00"/>
    <s v="Kavya"/>
    <n v="434503.43999999994"/>
  </r>
  <r>
    <n v="1274"/>
    <s v="Vikram"/>
    <x v="2"/>
    <s v="Electronics"/>
    <s v="Headset"/>
    <n v="13"/>
    <n v="36652"/>
    <n v="12"/>
    <d v="2026-06-06T00:00:00"/>
    <d v="2026-06-13T00:00:00"/>
    <s v="Amit"/>
    <n v="419298.88"/>
  </r>
  <r>
    <n v="1016"/>
    <s v="Asha"/>
    <x v="3"/>
    <s v="Electronics"/>
    <s v="Monitor"/>
    <n v="16"/>
    <n v="30234"/>
    <n v="15"/>
    <d v="2026-04-25T00:00:00"/>
    <d v="2026-04-28T00:00:00"/>
    <s v="Rahul"/>
    <n v="411182.39999999997"/>
  </r>
  <r>
    <n v="1268"/>
    <s v="Nisha"/>
    <x v="6"/>
    <s v="Electronics"/>
    <s v="Monitor"/>
    <n v="10"/>
    <n v="46291"/>
    <n v="12"/>
    <d v="2026-06-26T00:00:00"/>
    <d v="2026-06-29T00:00:00"/>
    <s v="Amit"/>
    <n v="407360.8"/>
  </r>
  <r>
    <n v="1382"/>
    <s v="Ajay"/>
    <x v="3"/>
    <s v="Electronics"/>
    <s v="Laptop"/>
    <n v="11"/>
    <n v="36198"/>
    <n v="0"/>
    <d v="2026-04-18T00:00:00"/>
    <d v="2026-04-22T00:00:00"/>
    <s v="Kavya"/>
    <n v="398178"/>
  </r>
  <r>
    <n v="1213"/>
    <s v="Asha"/>
    <x v="6"/>
    <s v="Electronics"/>
    <s v="Monitor"/>
    <n v="16"/>
    <n v="27741"/>
    <n v="12"/>
    <d v="2026-04-04T00:00:00"/>
    <d v="2026-04-07T00:00:00"/>
    <s v="Kavya"/>
    <n v="390593.28000000003"/>
  </r>
  <r>
    <n v="1343"/>
    <s v="Anita"/>
    <x v="1"/>
    <s v="Electronics"/>
    <s v="Keyboard"/>
    <n v="14"/>
    <n v="32719"/>
    <n v="15"/>
    <d v="2026-06-01T00:00:00"/>
    <d v="2026-06-06T00:00:00"/>
    <s v="Kavya"/>
    <n v="389356.1"/>
  </r>
  <r>
    <n v="1298"/>
    <s v="Meera"/>
    <x v="5"/>
    <s v="Electronics"/>
    <s v="Mouse"/>
    <n v="19"/>
    <n v="20745"/>
    <n v="2"/>
    <d v="2026-03-02T00:00:00"/>
    <d v="2026-03-12T00:00:00"/>
    <s v="Rahul"/>
    <n v="386271.89999999997"/>
  </r>
  <r>
    <n v="1009"/>
    <s v="Asha"/>
    <x v="3"/>
    <s v="Electronics"/>
    <s v="Printer"/>
    <n v="10"/>
    <n v="40671"/>
    <n v="12"/>
    <d v="2026-06-10T00:00:00"/>
    <d v="2026-06-20T00:00:00"/>
    <s v="Rahul"/>
    <n v="357904.8"/>
  </r>
  <r>
    <n v="1209"/>
    <s v="Nitin"/>
    <x v="6"/>
    <s v="Electronics"/>
    <s v="Printer"/>
    <n v="19"/>
    <n v="20284"/>
    <n v="10"/>
    <d v="2026-03-22T00:00:00"/>
    <d v="2026-03-29T00:00:00"/>
    <s v="Amit"/>
    <n v="346856.4"/>
  </r>
  <r>
    <n v="1359"/>
    <s v="Manoj"/>
    <x v="5"/>
    <s v="Electronics"/>
    <s v="Mouse"/>
    <n v="9"/>
    <n v="38179"/>
    <n v="0"/>
    <d v="2026-03-15T00:00:00"/>
    <d v="2026-03-18T00:00:00"/>
    <s v="Kavya"/>
    <n v="343611"/>
  </r>
  <r>
    <n v="1160"/>
    <s v="Anita"/>
    <x v="4"/>
    <s v="Electronics"/>
    <s v="Keyboard"/>
    <n v="7"/>
    <n v="53986"/>
    <n v="10"/>
    <d v="2026-04-30T00:00:00"/>
    <d v="2026-05-05T00:00:00"/>
    <s v="Suresh"/>
    <n v="340111.8"/>
  </r>
  <r>
    <n v="1259"/>
    <s v="Nisha"/>
    <x v="4"/>
    <s v="Electronics"/>
    <s v="Monitor"/>
    <n v="10"/>
    <n v="38771"/>
    <n v="15"/>
    <d v="2026-05-30T00:00:00"/>
    <d v="2026-06-09T00:00:00"/>
    <s v="Kavya"/>
    <n v="329553.5"/>
  </r>
  <r>
    <n v="1257"/>
    <s v="Manoj"/>
    <x v="2"/>
    <s v="Electronics"/>
    <s v="Mouse"/>
    <n v="7"/>
    <n v="53243"/>
    <n v="12"/>
    <d v="2026-05-19T00:00:00"/>
    <d v="2026-05-29T00:00:00"/>
    <s v="Kavya"/>
    <n v="327976.88"/>
  </r>
  <r>
    <n v="1140"/>
    <s v="Sara"/>
    <x v="6"/>
    <s v="Electronics"/>
    <s v="Headset"/>
    <n v="5"/>
    <n v="68012"/>
    <n v="5"/>
    <d v="2026-02-08T00:00:00"/>
    <d v="2026-02-12T00:00:00"/>
    <s v="Kavya"/>
    <n v="323057"/>
  </r>
  <r>
    <n v="1212"/>
    <s v="Anita"/>
    <x v="2"/>
    <s v="Electronics"/>
    <s v="Laptop"/>
    <n v="10"/>
    <n v="34380"/>
    <n v="7"/>
    <d v="2026-06-21T00:00:00"/>
    <d v="2026-06-22T00:00:00"/>
    <s v="Priya"/>
    <n v="319734"/>
  </r>
  <r>
    <n v="1363"/>
    <s v="Arjun"/>
    <x v="2"/>
    <s v="Electronics"/>
    <s v="Printer"/>
    <n v="7"/>
    <n v="45381"/>
    <n v="0"/>
    <d v="2026-04-10T00:00:00"/>
    <d v="2026-04-16T00:00:00"/>
    <s v="Kavya"/>
    <n v="317667"/>
  </r>
  <r>
    <n v="1391"/>
    <s v="Neha"/>
    <x v="1"/>
    <s v="Electronics"/>
    <s v="Printer"/>
    <n v="5"/>
    <n v="65270"/>
    <n v="5"/>
    <d v="2026-03-19T00:00:00"/>
    <d v="2026-03-22T00:00:00"/>
    <s v="Rahul"/>
    <n v="310032.5"/>
  </r>
  <r>
    <n v="1297"/>
    <s v="Manoj"/>
    <x v="2"/>
    <s v="Electronics"/>
    <s v="Printer"/>
    <n v="14"/>
    <n v="24524"/>
    <n v="10"/>
    <d v="2026-06-05T00:00:00"/>
    <d v="2026-06-14T00:00:00"/>
    <s v="Priya"/>
    <n v="309002.40000000002"/>
  </r>
  <r>
    <n v="1101"/>
    <s v="Arjun"/>
    <x v="4"/>
    <s v="Electronics"/>
    <s v="Mouse"/>
    <n v="9"/>
    <n v="37361"/>
    <n v="10"/>
    <d v="2026-04-29T00:00:00"/>
    <d v="2026-04-30T00:00:00"/>
    <s v="Rahul"/>
    <n v="302624.10000000003"/>
  </r>
  <r>
    <n v="1378"/>
    <s v="Sneha"/>
    <x v="4"/>
    <s v="Electronics"/>
    <s v="Monitor"/>
    <n v="15"/>
    <n v="22693"/>
    <n v="12"/>
    <d v="2026-02-21T00:00:00"/>
    <d v="2026-02-27T00:00:00"/>
    <s v="Suresh"/>
    <n v="299547.59999999998"/>
  </r>
  <r>
    <n v="1392"/>
    <s v="Priya"/>
    <x v="0"/>
    <s v="Electronics"/>
    <s v="Printer"/>
    <n v="13"/>
    <n v="23903"/>
    <n v="5"/>
    <d v="2026-04-12T00:00:00"/>
    <d v="2026-04-13T00:00:00"/>
    <s v="Priya"/>
    <n v="295202.05"/>
  </r>
  <r>
    <n v="1126"/>
    <s v="Kiran"/>
    <x v="4"/>
    <s v="Electronics"/>
    <s v="Keyboard"/>
    <n v="17"/>
    <n v="19390"/>
    <n v="12"/>
    <d v="2026-06-28T00:00:00"/>
    <d v="2026-07-03T00:00:00"/>
    <s v="Priya"/>
    <n v="290074.40000000002"/>
  </r>
  <r>
    <n v="1226"/>
    <s v="Priya"/>
    <x v="1"/>
    <s v="Electronics"/>
    <s v="Headset"/>
    <n v="13"/>
    <n v="21332"/>
    <n v="0"/>
    <d v="2026-01-22T00:00:00"/>
    <d v="2026-01-26T00:00:00"/>
    <s v="Priya"/>
    <n v="277316"/>
  </r>
  <r>
    <n v="1039"/>
    <s v="Nitin"/>
    <x v="6"/>
    <s v="Electronics"/>
    <s v="Monitor"/>
    <n v="5"/>
    <n v="60236"/>
    <n v="10"/>
    <d v="2026-03-26T00:00:00"/>
    <d v="2026-03-29T00:00:00"/>
    <s v="Amit"/>
    <n v="271062"/>
  </r>
  <r>
    <n v="1224"/>
    <s v="Neha"/>
    <x v="6"/>
    <s v="Electronics"/>
    <s v="Monitor"/>
    <n v="16"/>
    <n v="18378"/>
    <n v="10"/>
    <d v="2026-01-23T00:00:00"/>
    <d v="2026-01-30T00:00:00"/>
    <s v="Rahul"/>
    <n v="264643.20000000001"/>
  </r>
  <r>
    <n v="1292"/>
    <s v="Manoj"/>
    <x v="3"/>
    <s v="Electronics"/>
    <s v="Mouse"/>
    <n v="11"/>
    <n v="25158"/>
    <n v="5"/>
    <d v="2026-06-13T00:00:00"/>
    <d v="2026-06-20T00:00:00"/>
    <s v="Amit"/>
    <n v="262901.09999999998"/>
  </r>
  <r>
    <n v="1214"/>
    <s v="Nisha"/>
    <x v="2"/>
    <s v="Furniture"/>
    <s v="Chair"/>
    <n v="19"/>
    <n v="13832"/>
    <n v="0"/>
    <d v="2026-04-28T00:00:00"/>
    <d v="2026-05-03T00:00:00"/>
    <s v="Suresh"/>
    <n v="262808"/>
  </r>
  <r>
    <n v="1097"/>
    <s v="Komal"/>
    <x v="4"/>
    <s v="Electronics"/>
    <s v="Mouse"/>
    <n v="10"/>
    <n v="28980"/>
    <n v="10"/>
    <d v="2026-03-08T00:00:00"/>
    <d v="2026-03-13T00:00:00"/>
    <s v="Rahul"/>
    <n v="260820"/>
  </r>
  <r>
    <n v="1228"/>
    <s v="Priya"/>
    <x v="2"/>
    <s v="Electronics"/>
    <s v="Monitor"/>
    <n v="16"/>
    <n v="17477"/>
    <n v="10"/>
    <d v="2026-01-19T00:00:00"/>
    <d v="2026-01-21T00:00:00"/>
    <s v="Rahul"/>
    <n v="251668.80000000002"/>
  </r>
  <r>
    <n v="1134"/>
    <s v="Sara"/>
    <x v="1"/>
    <s v="Electronics"/>
    <s v="Mouse"/>
    <n v="10"/>
    <n v="29217"/>
    <n v="15"/>
    <d v="2026-05-06T00:00:00"/>
    <d v="2026-05-08T00:00:00"/>
    <s v="Rahul"/>
    <n v="248344.5"/>
  </r>
  <r>
    <n v="1185"/>
    <s v="Rohan"/>
    <x v="4"/>
    <s v="Electronics"/>
    <s v="Laptop"/>
    <n v="16"/>
    <n v="15536"/>
    <n v="2"/>
    <d v="2026-05-11T00:00:00"/>
    <d v="2026-05-14T00:00:00"/>
    <s v="Kavya"/>
    <n v="243604.47999999998"/>
  </r>
  <r>
    <n v="1136"/>
    <s v="Arjun"/>
    <x v="0"/>
    <s v="Furniture"/>
    <s v="Cabinet"/>
    <n v="19"/>
    <n v="14528"/>
    <n v="12"/>
    <d v="2026-02-03T00:00:00"/>
    <d v="2026-02-09T00:00:00"/>
    <s v="Rahul"/>
    <n v="242908.16"/>
  </r>
  <r>
    <n v="1310"/>
    <s v="Ajay"/>
    <x v="7"/>
    <s v="Furniture"/>
    <s v="Cabinet"/>
    <n v="19"/>
    <n v="12691"/>
    <n v="0"/>
    <d v="2026-06-08T00:00:00"/>
    <d v="2026-06-16T00:00:00"/>
    <s v="Priya"/>
    <n v="241129"/>
  </r>
  <r>
    <n v="1159"/>
    <s v="Asha"/>
    <x v="0"/>
    <s v="Furniture"/>
    <s v="Chair"/>
    <n v="20"/>
    <n v="14000"/>
    <n v="15"/>
    <d v="2026-06-11T00:00:00"/>
    <d v="2026-06-14T00:00:00"/>
    <s v="Kavya"/>
    <n v="238000"/>
  </r>
  <r>
    <n v="1233"/>
    <s v="Rohan"/>
    <x v="4"/>
    <s v="Furniture"/>
    <s v="Desk"/>
    <n v="20"/>
    <n v="13941"/>
    <n v="15"/>
    <d v="2026-06-25T00:00:00"/>
    <d v="2026-06-29T00:00:00"/>
    <s v="Rahul"/>
    <n v="236997"/>
  </r>
  <r>
    <n v="1078"/>
    <s v="Komal"/>
    <x v="7"/>
    <s v="Electronics"/>
    <s v="Keyboard"/>
    <n v="11"/>
    <n v="24278"/>
    <n v="12"/>
    <d v="2026-03-03T00:00:00"/>
    <d v="2026-03-09T00:00:00"/>
    <s v="Priya"/>
    <n v="235011.04"/>
  </r>
  <r>
    <n v="1075"/>
    <s v="Nisha"/>
    <x v="0"/>
    <s v="Electronics"/>
    <s v="Mouse"/>
    <n v="4"/>
    <n v="64773"/>
    <n v="10"/>
    <d v="2026-06-12T00:00:00"/>
    <d v="2026-06-13T00:00:00"/>
    <s v="Suresh"/>
    <n v="233182.80000000002"/>
  </r>
  <r>
    <n v="1032"/>
    <s v="Manoj"/>
    <x v="0"/>
    <s v="Electronics"/>
    <s v="Keyboard"/>
    <n v="20"/>
    <n v="11305"/>
    <n v="2"/>
    <d v="2026-05-21T00:00:00"/>
    <d v="2026-05-23T00:00:00"/>
    <s v="Priya"/>
    <n v="221578"/>
  </r>
  <r>
    <n v="1111"/>
    <s v="Yash"/>
    <x v="7"/>
    <s v="Electronics"/>
    <s v="Printer"/>
    <n v="5"/>
    <n v="49945"/>
    <n v="12"/>
    <d v="2026-04-21T00:00:00"/>
    <d v="2026-04-29T00:00:00"/>
    <s v="Priya"/>
    <n v="219758"/>
  </r>
  <r>
    <n v="1121"/>
    <s v="Priya"/>
    <x v="5"/>
    <s v="Electronics"/>
    <s v="Keyboard"/>
    <n v="4"/>
    <n v="55809"/>
    <n v="2"/>
    <d v="2026-03-22T00:00:00"/>
    <d v="2026-03-27T00:00:00"/>
    <s v="Priya"/>
    <n v="218771.28"/>
  </r>
  <r>
    <n v="1273"/>
    <s v="Kiran"/>
    <x v="2"/>
    <s v="Electronics"/>
    <s v="Keyboard"/>
    <n v="12"/>
    <n v="20618"/>
    <n v="12"/>
    <d v="2026-05-30T00:00:00"/>
    <d v="2026-06-01T00:00:00"/>
    <s v="Amit"/>
    <n v="217726.07999999999"/>
  </r>
  <r>
    <n v="1149"/>
    <s v="Vikram"/>
    <x v="6"/>
    <s v="Electronics"/>
    <s v="Printer"/>
    <n v="10"/>
    <n v="22853"/>
    <n v="7"/>
    <d v="2026-01-31T00:00:00"/>
    <d v="2026-02-01T00:00:00"/>
    <s v="Priya"/>
    <n v="212532.9"/>
  </r>
  <r>
    <n v="1068"/>
    <s v="Komal"/>
    <x v="0"/>
    <s v="Electronics"/>
    <s v="Laptop"/>
    <n v="15"/>
    <n v="14534"/>
    <n v="5"/>
    <d v="2026-06-23T00:00:00"/>
    <d v="2026-06-26T00:00:00"/>
    <s v="Priya"/>
    <n v="207109.5"/>
  </r>
  <r>
    <n v="1092"/>
    <s v="Meera"/>
    <x v="4"/>
    <s v="Electronics"/>
    <s v="Headset"/>
    <n v="9"/>
    <n v="23438"/>
    <n v="2"/>
    <d v="2026-01-27T00:00:00"/>
    <d v="2026-02-02T00:00:00"/>
    <s v="Priya"/>
    <n v="206723.16"/>
  </r>
  <r>
    <n v="1161"/>
    <s v="Arjun"/>
    <x v="2"/>
    <s v="Electronics"/>
    <s v="Keyboard"/>
    <n v="4"/>
    <n v="54659"/>
    <n v="7"/>
    <d v="2026-03-24T00:00:00"/>
    <d v="2026-03-28T00:00:00"/>
    <s v="Amit"/>
    <n v="203331.47999999998"/>
  </r>
  <r>
    <n v="1197"/>
    <s v="Komal"/>
    <x v="1"/>
    <s v="Electronics"/>
    <s v="Printer"/>
    <n v="5"/>
    <n v="45352"/>
    <n v="12"/>
    <d v="2026-01-23T00:00:00"/>
    <d v="2026-01-26T00:00:00"/>
    <s v="Kavya"/>
    <n v="199548.79999999999"/>
  </r>
  <r>
    <n v="1175"/>
    <s v="Vikram"/>
    <x v="7"/>
    <s v="Electronics"/>
    <s v="Headset"/>
    <n v="10"/>
    <n v="20339"/>
    <n v="2"/>
    <d v="2026-03-07T00:00:00"/>
    <d v="2026-03-13T00:00:00"/>
    <s v="Amit"/>
    <n v="199322.19999999998"/>
  </r>
  <r>
    <n v="1108"/>
    <s v="Nisha"/>
    <x v="3"/>
    <s v="Furniture"/>
    <s v="Chair"/>
    <n v="15"/>
    <n v="13843"/>
    <n v="7"/>
    <d v="2026-04-07T00:00:00"/>
    <d v="2026-04-15T00:00:00"/>
    <s v="Amit"/>
    <n v="193109.84999999998"/>
  </r>
  <r>
    <n v="1354"/>
    <s v="Yash"/>
    <x v="0"/>
    <s v="Electronics"/>
    <s v="Printer"/>
    <n v="15"/>
    <n v="14927"/>
    <n v="15"/>
    <d v="2026-04-06T00:00:00"/>
    <d v="2026-04-08T00:00:00"/>
    <s v="Suresh"/>
    <n v="190319.25"/>
  </r>
  <r>
    <n v="1096"/>
    <s v="Ajay"/>
    <x v="7"/>
    <s v="Furniture"/>
    <s v="Table"/>
    <n v="15"/>
    <n v="14724"/>
    <n v="15"/>
    <d v="2026-02-01T00:00:00"/>
    <d v="2026-02-08T00:00:00"/>
    <s v="Amit"/>
    <n v="187731"/>
  </r>
  <r>
    <n v="1290"/>
    <s v="Vikram"/>
    <x v="4"/>
    <s v="Electronics"/>
    <s v="Printer"/>
    <n v="3"/>
    <n v="69793"/>
    <n v="15"/>
    <d v="2026-03-29T00:00:00"/>
    <d v="2026-03-30T00:00:00"/>
    <s v="Priya"/>
    <n v="177972.15"/>
  </r>
  <r>
    <n v="1045"/>
    <s v="Asha"/>
    <x v="6"/>
    <s v="Electronics"/>
    <s v="Printer"/>
    <n v="3"/>
    <n v="62762"/>
    <n v="7"/>
    <d v="2026-01-16T00:00:00"/>
    <d v="2026-01-17T00:00:00"/>
    <s v="Priya"/>
    <n v="175105.97999999998"/>
  </r>
  <r>
    <n v="1012"/>
    <s v="Vikram"/>
    <x v="6"/>
    <s v="Electronics"/>
    <s v="Keyboard"/>
    <n v="3"/>
    <n v="64615"/>
    <n v="10"/>
    <d v="2026-03-05T00:00:00"/>
    <d v="2026-03-14T00:00:00"/>
    <s v="Priya"/>
    <n v="174460.5"/>
  </r>
  <r>
    <n v="1022"/>
    <s v="Vikram"/>
    <x v="7"/>
    <s v="Electronics"/>
    <s v="Monitor"/>
    <n v="15"/>
    <n v="11596"/>
    <n v="0"/>
    <d v="2026-04-05T00:00:00"/>
    <d v="2026-04-09T00:00:00"/>
    <s v="Priya"/>
    <n v="173940"/>
  </r>
  <r>
    <n v="1153"/>
    <s v="Nisha"/>
    <x v="2"/>
    <s v="Furniture"/>
    <s v="Table"/>
    <n v="19"/>
    <n v="10273"/>
    <n v="12"/>
    <d v="2026-02-16T00:00:00"/>
    <d v="2026-02-19T00:00:00"/>
    <s v="Priya"/>
    <n v="171764.56"/>
  </r>
  <r>
    <n v="1066"/>
    <s v="Yash"/>
    <x v="2"/>
    <s v="Furniture"/>
    <s v="Bookshelf"/>
    <n v="15"/>
    <n v="11987"/>
    <n v="5"/>
    <d v="2026-03-01T00:00:00"/>
    <d v="2026-03-02T00:00:00"/>
    <s v="Kavya"/>
    <n v="170814.75"/>
  </r>
  <r>
    <n v="1295"/>
    <s v="Komal"/>
    <x v="6"/>
    <s v="Furniture"/>
    <s v="Chair"/>
    <n v="16"/>
    <n v="11935"/>
    <n v="12"/>
    <d v="2026-05-15T00:00:00"/>
    <d v="2026-05-20T00:00:00"/>
    <s v="Kavya"/>
    <n v="168044.79999999999"/>
  </r>
  <r>
    <n v="1089"/>
    <s v="Kiran"/>
    <x v="5"/>
    <s v="Electronics"/>
    <s v="Printer"/>
    <n v="10"/>
    <n v="17041"/>
    <n v="2"/>
    <d v="2026-02-13T00:00:00"/>
    <d v="2026-02-18T00:00:00"/>
    <s v="Rahul"/>
    <n v="167001.79999999999"/>
  </r>
  <r>
    <n v="1350"/>
    <s v="Vikram"/>
    <x v="0"/>
    <s v="Furniture"/>
    <s v="Chair"/>
    <n v="16"/>
    <n v="11790"/>
    <n v="12"/>
    <d v="2026-06-12T00:00:00"/>
    <d v="2026-06-17T00:00:00"/>
    <s v="Priya"/>
    <n v="166003.20000000001"/>
  </r>
  <r>
    <n v="1004"/>
    <s v="Pooja"/>
    <x v="2"/>
    <s v="Furniture"/>
    <s v="Table"/>
    <n v="16"/>
    <n v="11739"/>
    <n v="12"/>
    <d v="2026-01-12T00:00:00"/>
    <d v="2026-01-18T00:00:00"/>
    <s v="Amit"/>
    <n v="165285.12"/>
  </r>
  <r>
    <n v="1389"/>
    <s v="Asha"/>
    <x v="5"/>
    <s v="Electronics"/>
    <s v="Headset"/>
    <n v="3"/>
    <n v="56380"/>
    <n v="5"/>
    <d v="2026-01-22T00:00:00"/>
    <d v="2026-01-26T00:00:00"/>
    <s v="Suresh"/>
    <n v="160683"/>
  </r>
  <r>
    <n v="1158"/>
    <s v="Vikram"/>
    <x v="6"/>
    <s v="Electronics"/>
    <s v="Headset"/>
    <n v="13"/>
    <n v="12518"/>
    <n v="2"/>
    <d v="2026-02-26T00:00:00"/>
    <d v="2026-03-01T00:00:00"/>
    <s v="Suresh"/>
    <n v="159479.32"/>
  </r>
  <r>
    <n v="1395"/>
    <s v="Manoj"/>
    <x v="3"/>
    <s v="Furniture"/>
    <s v="Bookshelf"/>
    <n v="18"/>
    <n v="10402"/>
    <n v="15"/>
    <d v="2026-02-09T00:00:00"/>
    <d v="2026-02-14T00:00:00"/>
    <s v="Priya"/>
    <n v="159150.6"/>
  </r>
  <r>
    <n v="1338"/>
    <s v="Anita"/>
    <x v="2"/>
    <s v="Electronics"/>
    <s v="Laptop"/>
    <n v="10"/>
    <n v="16719"/>
    <n v="5"/>
    <d v="2026-06-04T00:00:00"/>
    <d v="2026-06-06T00:00:00"/>
    <s v="Kavya"/>
    <n v="158830.5"/>
  </r>
  <r>
    <n v="1330"/>
    <s v="Ajay"/>
    <x v="7"/>
    <s v="Furniture"/>
    <s v="Desk"/>
    <n v="13"/>
    <n v="12071"/>
    <n v="0"/>
    <d v="2026-01-10T00:00:00"/>
    <d v="2026-01-14T00:00:00"/>
    <s v="Suresh"/>
    <n v="156923"/>
  </r>
  <r>
    <n v="1015"/>
    <s v="Nisha"/>
    <x v="0"/>
    <s v="Furniture"/>
    <s v="Bookshelf"/>
    <n v="11"/>
    <n v="14511"/>
    <n v="2"/>
    <d v="2026-06-02T00:00:00"/>
    <d v="2026-06-12T00:00:00"/>
    <s v="Amit"/>
    <n v="156428.57999999999"/>
  </r>
  <r>
    <n v="1118"/>
    <s v="Meera"/>
    <x v="4"/>
    <s v="Furniture"/>
    <s v="Table"/>
    <n v="18"/>
    <n v="9118"/>
    <n v="5"/>
    <d v="2026-06-05T00:00:00"/>
    <d v="2026-06-14T00:00:00"/>
    <s v="Priya"/>
    <n v="155917.79999999999"/>
  </r>
  <r>
    <n v="1127"/>
    <s v="Vikram"/>
    <x v="3"/>
    <s v="Furniture"/>
    <s v="Chair"/>
    <n v="15"/>
    <n v="11694"/>
    <n v="12"/>
    <d v="2026-05-28T00:00:00"/>
    <d v="2026-06-06T00:00:00"/>
    <s v="Priya"/>
    <n v="154360.79999999999"/>
  </r>
  <r>
    <n v="1048"/>
    <s v="Anita"/>
    <x v="2"/>
    <s v="Electronics"/>
    <s v="Laptop"/>
    <n v="14"/>
    <n v="11762"/>
    <n v="7"/>
    <d v="2026-06-07T00:00:00"/>
    <d v="2026-06-13T00:00:00"/>
    <s v="Rahul"/>
    <n v="153141.24"/>
  </r>
  <r>
    <n v="1067"/>
    <s v="Asha"/>
    <x v="0"/>
    <s v="Furniture"/>
    <s v="Cabinet"/>
    <n v="14"/>
    <n v="10869"/>
    <n v="0"/>
    <d v="2026-02-05T00:00:00"/>
    <d v="2026-02-09T00:00:00"/>
    <s v="Priya"/>
    <n v="152166"/>
  </r>
  <r>
    <n v="1164"/>
    <s v="Deepak"/>
    <x v="0"/>
    <s v="Electronics"/>
    <s v="Mouse"/>
    <n v="7"/>
    <n v="24615"/>
    <n v="12"/>
    <d v="2026-06-23T00:00:00"/>
    <d v="2026-06-30T00:00:00"/>
    <s v="Suresh"/>
    <n v="151628.4"/>
  </r>
  <r>
    <n v="1186"/>
    <s v="Pooja"/>
    <x v="2"/>
    <s v="Furniture"/>
    <s v="Bookshelf"/>
    <n v="10"/>
    <n v="14951"/>
    <n v="2"/>
    <d v="2026-06-15T00:00:00"/>
    <d v="2026-06-23T00:00:00"/>
    <s v="Rahul"/>
    <n v="146519.79999999999"/>
  </r>
  <r>
    <n v="1025"/>
    <s v="Meera"/>
    <x v="5"/>
    <s v="Furniture"/>
    <s v="Desk"/>
    <n v="18"/>
    <n v="7924"/>
    <n v="0"/>
    <d v="2026-06-02T00:00:00"/>
    <d v="2026-06-08T00:00:00"/>
    <s v="Kavya"/>
    <n v="142632"/>
  </r>
  <r>
    <n v="1194"/>
    <s v="Sara"/>
    <x v="0"/>
    <s v="Furniture"/>
    <s v="Chair"/>
    <n v="13"/>
    <n v="12856"/>
    <n v="15"/>
    <d v="2026-04-17T00:00:00"/>
    <d v="2026-04-21T00:00:00"/>
    <s v="Suresh"/>
    <n v="142058.79999999999"/>
  </r>
  <r>
    <n v="1169"/>
    <s v="Yash"/>
    <x v="5"/>
    <s v="Furniture"/>
    <s v="Cabinet"/>
    <n v="12"/>
    <n v="12104"/>
    <n v="7"/>
    <d v="2026-04-09T00:00:00"/>
    <d v="2026-04-18T00:00:00"/>
    <s v="Rahul"/>
    <n v="135080.63999999998"/>
  </r>
  <r>
    <n v="1141"/>
    <s v="Ritesh"/>
    <x v="7"/>
    <s v="Furniture"/>
    <s v="Bookshelf"/>
    <n v="20"/>
    <n v="6835"/>
    <n v="2"/>
    <d v="2026-01-21T00:00:00"/>
    <d v="2026-01-31T00:00:00"/>
    <s v="Kavya"/>
    <n v="133966"/>
  </r>
  <r>
    <n v="1398"/>
    <s v="Rohan"/>
    <x v="0"/>
    <s v="Electronics"/>
    <s v="Keyboard"/>
    <n v="12"/>
    <n v="10668"/>
    <n v="0"/>
    <d v="2026-05-28T00:00:00"/>
    <d v="2026-06-03T00:00:00"/>
    <s v="Kavya"/>
    <n v="128016"/>
  </r>
  <r>
    <n v="1360"/>
    <s v="Ritesh"/>
    <x v="0"/>
    <s v="Furniture"/>
    <s v="Table"/>
    <n v="19"/>
    <n v="6681"/>
    <n v="2"/>
    <d v="2026-05-04T00:00:00"/>
    <d v="2026-05-08T00:00:00"/>
    <s v="Kavya"/>
    <n v="124400.22"/>
  </r>
  <r>
    <n v="1388"/>
    <s v="Sneha"/>
    <x v="1"/>
    <s v="Furniture"/>
    <s v="Chair"/>
    <n v="12"/>
    <n v="11662"/>
    <n v="12"/>
    <d v="2026-03-13T00:00:00"/>
    <d v="2026-03-15T00:00:00"/>
    <s v="Amit"/>
    <n v="123150.72"/>
  </r>
  <r>
    <n v="1250"/>
    <s v="Ritesh"/>
    <x v="7"/>
    <s v="Electronics"/>
    <s v="Monitor"/>
    <n v="2"/>
    <n v="65953"/>
    <n v="7"/>
    <d v="2026-01-29T00:00:00"/>
    <d v="2026-01-31T00:00:00"/>
    <s v="Priya"/>
    <n v="122672.57999999999"/>
  </r>
  <r>
    <n v="1307"/>
    <s v="Sara"/>
    <x v="0"/>
    <s v="Electronics"/>
    <s v="Printer"/>
    <n v="18"/>
    <n v="7541"/>
    <n v="12"/>
    <d v="2026-01-26T00:00:00"/>
    <d v="2026-01-29T00:00:00"/>
    <s v="Suresh"/>
    <n v="119449.44"/>
  </r>
  <r>
    <n v="1231"/>
    <s v="Nitin"/>
    <x v="6"/>
    <s v="Furniture"/>
    <s v="Desk"/>
    <n v="13"/>
    <n v="10297"/>
    <n v="12"/>
    <d v="2026-06-05T00:00:00"/>
    <d v="2026-06-13T00:00:00"/>
    <s v="Amit"/>
    <n v="117797.68000000001"/>
  </r>
  <r>
    <n v="1203"/>
    <s v="Deepak"/>
    <x v="4"/>
    <s v="Furniture"/>
    <s v="Table"/>
    <n v="17"/>
    <n v="6695"/>
    <n v="2"/>
    <d v="2026-04-07T00:00:00"/>
    <d v="2026-04-10T00:00:00"/>
    <s v="Suresh"/>
    <n v="111538.7"/>
  </r>
  <r>
    <n v="1109"/>
    <s v="Meera"/>
    <x v="1"/>
    <s v="Furniture"/>
    <s v="Bookshelf"/>
    <n v="19"/>
    <n v="6512"/>
    <n v="10"/>
    <d v="2026-01-11T00:00:00"/>
    <d v="2026-01-15T00:00:00"/>
    <s v="Amit"/>
    <n v="111355.2"/>
  </r>
  <r>
    <n v="1104"/>
    <s v="Pooja"/>
    <x v="0"/>
    <s v="Furniture"/>
    <s v="Desk"/>
    <n v="10"/>
    <n v="12848"/>
    <n v="15"/>
    <d v="2026-02-07T00:00:00"/>
    <d v="2026-02-11T00:00:00"/>
    <s v="Priya"/>
    <n v="109208"/>
  </r>
  <r>
    <n v="1322"/>
    <s v="Arjun"/>
    <x v="5"/>
    <s v="Furniture"/>
    <s v="Table"/>
    <n v="14"/>
    <n v="9081"/>
    <n v="15"/>
    <d v="2026-04-29T00:00:00"/>
    <d v="2026-05-04T00:00:00"/>
    <s v="Kavya"/>
    <n v="108063.9"/>
  </r>
  <r>
    <n v="1369"/>
    <s v="Sara"/>
    <x v="2"/>
    <s v="Furniture"/>
    <s v="Desk"/>
    <n v="19"/>
    <n v="5840"/>
    <n v="5"/>
    <d v="2026-02-09T00:00:00"/>
    <d v="2026-02-14T00:00:00"/>
    <s v="Kavya"/>
    <n v="105412"/>
  </r>
  <r>
    <n v="1341"/>
    <s v="Sara"/>
    <x v="6"/>
    <s v="Furniture"/>
    <s v="Desk"/>
    <n v="19"/>
    <n v="6488"/>
    <n v="15"/>
    <d v="2026-01-04T00:00:00"/>
    <d v="2026-01-08T00:00:00"/>
    <s v="Amit"/>
    <n v="104781.2"/>
  </r>
  <r>
    <n v="1294"/>
    <s v="Meera"/>
    <x v="5"/>
    <s v="Furniture"/>
    <s v="Desk"/>
    <n v="8"/>
    <n v="14448"/>
    <n v="10"/>
    <d v="2026-06-08T00:00:00"/>
    <d v="2026-06-16T00:00:00"/>
    <s v="Kavya"/>
    <n v="104025.60000000001"/>
  </r>
  <r>
    <n v="1152"/>
    <s v="Arjun"/>
    <x v="1"/>
    <s v="Electronics"/>
    <s v="Mouse"/>
    <n v="14"/>
    <n v="8150"/>
    <n v="10"/>
    <d v="2026-02-09T00:00:00"/>
    <d v="2026-02-17T00:00:00"/>
    <s v="Kavya"/>
    <n v="102690"/>
  </r>
  <r>
    <n v="1249"/>
    <s v="Pooja"/>
    <x v="2"/>
    <s v="Electronics"/>
    <s v="Headset"/>
    <n v="18"/>
    <n v="6360"/>
    <n v="12"/>
    <d v="2026-05-21T00:00:00"/>
    <d v="2026-05-23T00:00:00"/>
    <s v="Amit"/>
    <n v="100742.39999999999"/>
  </r>
  <r>
    <n v="1177"/>
    <s v="Priya"/>
    <x v="4"/>
    <s v="Furniture"/>
    <s v="Desk"/>
    <n v="14"/>
    <n v="7501"/>
    <n v="7"/>
    <d v="2026-05-27T00:00:00"/>
    <d v="2026-06-06T00:00:00"/>
    <s v="Amit"/>
    <n v="97663.01999999999"/>
  </r>
  <r>
    <n v="1047"/>
    <s v="Rohan"/>
    <x v="6"/>
    <s v="Furniture"/>
    <s v="Cabinet"/>
    <n v="11"/>
    <n v="9976"/>
    <n v="12"/>
    <d v="2026-06-27T00:00:00"/>
    <d v="2026-07-06T00:00:00"/>
    <s v="Kavya"/>
    <n v="96567.680000000008"/>
  </r>
  <r>
    <n v="1237"/>
    <s v="Kiran"/>
    <x v="6"/>
    <s v="Furniture"/>
    <s v="Cabinet"/>
    <n v="8"/>
    <n v="12123"/>
    <n v="2"/>
    <d v="2026-04-25T00:00:00"/>
    <d v="2026-05-03T00:00:00"/>
    <s v="Kavya"/>
    <n v="95044.319999999992"/>
  </r>
  <r>
    <n v="1346"/>
    <s v="Asha"/>
    <x v="4"/>
    <s v="Furniture"/>
    <s v="Desk"/>
    <n v="16"/>
    <n v="6910"/>
    <n v="15"/>
    <d v="2026-04-28T00:00:00"/>
    <d v="2026-04-30T00:00:00"/>
    <s v="Priya"/>
    <n v="93976"/>
  </r>
  <r>
    <n v="1154"/>
    <s v="Asha"/>
    <x v="7"/>
    <s v="Furniture"/>
    <s v="Cabinet"/>
    <n v="15"/>
    <n v="6101"/>
    <n v="0"/>
    <d v="2026-06-05T00:00:00"/>
    <d v="2026-06-10T00:00:00"/>
    <s v="Suresh"/>
    <n v="91515"/>
  </r>
  <r>
    <n v="1189"/>
    <s v="Ajay"/>
    <x v="1"/>
    <s v="Furniture"/>
    <s v="Cabinet"/>
    <n v="12"/>
    <n v="8327"/>
    <n v="10"/>
    <d v="2026-06-11T00:00:00"/>
    <d v="2026-06-12T00:00:00"/>
    <s v="Priya"/>
    <n v="89931.6"/>
  </r>
  <r>
    <n v="1110"/>
    <s v="Ajay"/>
    <x v="6"/>
    <s v="Furniture"/>
    <s v="Table"/>
    <n v="14"/>
    <n v="6793"/>
    <n v="7"/>
    <d v="2026-02-24T00:00:00"/>
    <d v="2026-03-01T00:00:00"/>
    <s v="Priya"/>
    <n v="88444.86"/>
  </r>
  <r>
    <n v="1264"/>
    <s v="Ritesh"/>
    <x v="4"/>
    <s v="Furniture"/>
    <s v="Chair"/>
    <n v="15"/>
    <n v="6365"/>
    <n v="10"/>
    <d v="2026-06-27T00:00:00"/>
    <d v="2026-07-03T00:00:00"/>
    <s v="Amit"/>
    <n v="85927.5"/>
  </r>
  <r>
    <n v="1060"/>
    <s v="Ajay"/>
    <x v="5"/>
    <s v="Furniture"/>
    <s v="Bookshelf"/>
    <n v="9"/>
    <n v="9727"/>
    <n v="2"/>
    <d v="2026-01-02T00:00:00"/>
    <d v="2026-01-08T00:00:00"/>
    <s v="Amit"/>
    <n v="85792.14"/>
  </r>
  <r>
    <n v="1331"/>
    <s v="Meera"/>
    <x v="2"/>
    <s v="Electronics"/>
    <s v="Mouse"/>
    <n v="2"/>
    <n v="43557"/>
    <n v="2"/>
    <d v="2026-06-17T00:00:00"/>
    <d v="2026-06-27T00:00:00"/>
    <s v="Kavya"/>
    <n v="85371.72"/>
  </r>
  <r>
    <n v="1347"/>
    <s v="Priya"/>
    <x v="4"/>
    <s v="Electronics"/>
    <s v="Printer"/>
    <n v="16"/>
    <n v="6034"/>
    <n v="15"/>
    <d v="2026-01-15T00:00:00"/>
    <d v="2026-01-22T00:00:00"/>
    <s v="Rahul"/>
    <n v="82062.399999999994"/>
  </r>
  <r>
    <n v="1049"/>
    <s v="Komal"/>
    <x v="2"/>
    <s v="Electronics"/>
    <s v="Monitor"/>
    <n v="2"/>
    <n v="40789"/>
    <n v="0"/>
    <d v="2026-03-21T00:00:00"/>
    <d v="2026-03-27T00:00:00"/>
    <s v="Rahul"/>
    <n v="81578"/>
  </r>
  <r>
    <n v="1103"/>
    <s v="Pooja"/>
    <x v="5"/>
    <s v="Furniture"/>
    <s v="Table"/>
    <n v="7"/>
    <n v="11925"/>
    <n v="5"/>
    <d v="2026-01-18T00:00:00"/>
    <d v="2026-01-19T00:00:00"/>
    <s v="Priya"/>
    <n v="79301.25"/>
  </r>
  <r>
    <n v="1269"/>
    <s v="Komal"/>
    <x v="0"/>
    <s v="Furniture"/>
    <s v="Desk"/>
    <n v="14"/>
    <n v="5704"/>
    <n v="2"/>
    <d v="2026-04-17T00:00:00"/>
    <d v="2026-04-19T00:00:00"/>
    <s v="Kavya"/>
    <n v="78258.880000000005"/>
  </r>
  <r>
    <n v="1372"/>
    <s v="Nitin"/>
    <x v="7"/>
    <s v="Electronics"/>
    <s v="Keyboard"/>
    <n v="9"/>
    <n v="9551"/>
    <n v="10"/>
    <d v="2026-05-19T00:00:00"/>
    <d v="2026-05-26T00:00:00"/>
    <s v="Kavya"/>
    <n v="77363.100000000006"/>
  </r>
  <r>
    <n v="1278"/>
    <s v="Yash"/>
    <x v="4"/>
    <s v="Electronics"/>
    <s v="Mouse"/>
    <n v="4"/>
    <n v="20639"/>
    <n v="7"/>
    <d v="2026-06-07T00:00:00"/>
    <d v="2026-06-13T00:00:00"/>
    <s v="Amit"/>
    <n v="76777.08"/>
  </r>
  <r>
    <n v="1034"/>
    <s v="Sneha"/>
    <x v="3"/>
    <s v="Furniture"/>
    <s v="Chair"/>
    <n v="17"/>
    <n v="5104"/>
    <n v="12"/>
    <d v="2026-01-30T00:00:00"/>
    <d v="2026-02-08T00:00:00"/>
    <s v="Suresh"/>
    <n v="76355.839999999997"/>
  </r>
  <r>
    <n v="1037"/>
    <s v="Kiran"/>
    <x v="0"/>
    <s v="Furniture"/>
    <s v="Cabinet"/>
    <n v="6"/>
    <n v="14385"/>
    <n v="12"/>
    <d v="2026-01-11T00:00:00"/>
    <d v="2026-01-21T00:00:00"/>
    <s v="Rahul"/>
    <n v="75952.800000000003"/>
  </r>
  <r>
    <n v="1113"/>
    <s v="Vikram"/>
    <x v="0"/>
    <s v="Furniture"/>
    <s v="Cabinet"/>
    <n v="13"/>
    <n v="6719"/>
    <n v="15"/>
    <d v="2026-02-23T00:00:00"/>
    <d v="2026-02-28T00:00:00"/>
    <s v="Rahul"/>
    <n v="74244.95"/>
  </r>
  <r>
    <n v="1040"/>
    <s v="Ajay"/>
    <x v="6"/>
    <s v="Furniture"/>
    <s v="Chair"/>
    <n v="10"/>
    <n v="7531"/>
    <n v="2"/>
    <d v="2026-05-29T00:00:00"/>
    <d v="2026-06-05T00:00:00"/>
    <s v="Rahul"/>
    <n v="73803.8"/>
  </r>
  <r>
    <n v="1229"/>
    <s v="Sara"/>
    <x v="5"/>
    <s v="Furniture"/>
    <s v="Cabinet"/>
    <n v="14"/>
    <n v="5859"/>
    <n v="12"/>
    <d v="2026-01-05T00:00:00"/>
    <d v="2026-01-14T00:00:00"/>
    <s v="Amit"/>
    <n v="72182.880000000005"/>
  </r>
  <r>
    <n v="1138"/>
    <s v="Sneha"/>
    <x v="0"/>
    <s v="Furniture"/>
    <s v="Desk"/>
    <n v="5"/>
    <n v="14466"/>
    <n v="2"/>
    <d v="2026-03-03T00:00:00"/>
    <d v="2026-03-11T00:00:00"/>
    <s v="Suresh"/>
    <n v="70883.399999999994"/>
  </r>
  <r>
    <n v="1191"/>
    <s v="Komal"/>
    <x v="3"/>
    <s v="Furniture"/>
    <s v="Cabinet"/>
    <n v="9"/>
    <n v="8631"/>
    <n v="10"/>
    <d v="2026-05-07T00:00:00"/>
    <d v="2026-05-14T00:00:00"/>
    <s v="Amit"/>
    <n v="69911.100000000006"/>
  </r>
  <r>
    <n v="1390"/>
    <s v="Rohan"/>
    <x v="0"/>
    <s v="Furniture"/>
    <s v="Desk"/>
    <n v="9"/>
    <n v="7670"/>
    <n v="0"/>
    <d v="2026-02-23T00:00:00"/>
    <d v="2026-02-28T00:00:00"/>
    <s v="Suresh"/>
    <n v="69030"/>
  </r>
  <r>
    <n v="1054"/>
    <s v="Vikram"/>
    <x v="2"/>
    <s v="Furniture"/>
    <s v="Table"/>
    <n v="8"/>
    <n v="9798"/>
    <n v="12"/>
    <d v="2026-06-27T00:00:00"/>
    <d v="2026-06-28T00:00:00"/>
    <s v="Suresh"/>
    <n v="68977.919999999998"/>
  </r>
  <r>
    <n v="1299"/>
    <s v="Vikram"/>
    <x v="7"/>
    <s v="Furniture"/>
    <s v="Cabinet"/>
    <n v="8"/>
    <n v="8783"/>
    <n v="2"/>
    <d v="2026-04-11T00:00:00"/>
    <d v="2026-04-20T00:00:00"/>
    <s v="Kavya"/>
    <n v="68858.720000000001"/>
  </r>
  <r>
    <n v="1293"/>
    <s v="Ajay"/>
    <x v="0"/>
    <s v="Furniture"/>
    <s v="Table"/>
    <n v="7"/>
    <n v="11481"/>
    <n v="15"/>
    <d v="2026-01-23T00:00:00"/>
    <d v="2026-01-28T00:00:00"/>
    <s v="Amit"/>
    <n v="68311.95"/>
  </r>
  <r>
    <n v="1303"/>
    <s v="Sara"/>
    <x v="6"/>
    <s v="Electronics"/>
    <s v="Printer"/>
    <n v="13"/>
    <n v="5170"/>
    <n v="2"/>
    <d v="2026-04-12T00:00:00"/>
    <d v="2026-04-15T00:00:00"/>
    <s v="Kavya"/>
    <n v="65865.8"/>
  </r>
  <r>
    <n v="1062"/>
    <s v="Deepak"/>
    <x v="0"/>
    <s v="Furniture"/>
    <s v="Table"/>
    <n v="8"/>
    <n v="8360"/>
    <n v="2"/>
    <d v="2026-06-17T00:00:00"/>
    <d v="2026-06-27T00:00:00"/>
    <s v="Suresh"/>
    <n v="65542.399999999994"/>
  </r>
  <r>
    <n v="1302"/>
    <s v="Sara"/>
    <x v="5"/>
    <s v="Electronics"/>
    <s v="Printer"/>
    <n v="9"/>
    <n v="8500"/>
    <n v="15"/>
    <d v="2026-05-21T00:00:00"/>
    <d v="2026-05-30T00:00:00"/>
    <s v="Rahul"/>
    <n v="65025"/>
  </r>
  <r>
    <n v="1386"/>
    <s v="Arjun"/>
    <x v="1"/>
    <s v="Furniture"/>
    <s v="Chair"/>
    <n v="9"/>
    <n v="7509"/>
    <n v="5"/>
    <d v="2026-05-20T00:00:00"/>
    <d v="2026-05-29T00:00:00"/>
    <s v="Suresh"/>
    <n v="64201.95"/>
  </r>
  <r>
    <n v="1312"/>
    <s v="Sara"/>
    <x v="4"/>
    <s v="Furniture"/>
    <s v="Cabinet"/>
    <n v="20"/>
    <n v="3274"/>
    <n v="2"/>
    <d v="2026-05-06T00:00:00"/>
    <d v="2026-05-14T00:00:00"/>
    <s v="Rahul"/>
    <n v="64170.400000000001"/>
  </r>
  <r>
    <n v="1316"/>
    <s v="Kiran"/>
    <x v="5"/>
    <s v="Furniture"/>
    <s v="Chair"/>
    <n v="7"/>
    <n v="9838"/>
    <n v="7"/>
    <d v="2026-02-25T00:00:00"/>
    <d v="2026-03-04T00:00:00"/>
    <s v="Amit"/>
    <n v="64045.38"/>
  </r>
  <r>
    <n v="1147"/>
    <s v="Ritesh"/>
    <x v="4"/>
    <s v="Furniture"/>
    <s v="Chair"/>
    <n v="7"/>
    <n v="9581"/>
    <n v="5"/>
    <d v="2026-05-12T00:00:00"/>
    <d v="2026-05-13T00:00:00"/>
    <s v="Amit"/>
    <n v="63713.649999999994"/>
  </r>
  <r>
    <n v="1314"/>
    <s v="Komal"/>
    <x v="3"/>
    <s v="Furniture"/>
    <s v="Desk"/>
    <n v="10"/>
    <n v="6328"/>
    <n v="2"/>
    <d v="2026-06-23T00:00:00"/>
    <d v="2026-06-24T00:00:00"/>
    <s v="Priya"/>
    <n v="62014.400000000001"/>
  </r>
  <r>
    <n v="1179"/>
    <s v="Yash"/>
    <x v="7"/>
    <s v="Electronics"/>
    <s v="Keyboard"/>
    <n v="6"/>
    <n v="10400"/>
    <n v="2"/>
    <d v="2026-05-13T00:00:00"/>
    <d v="2026-05-16T00:00:00"/>
    <s v="Kavya"/>
    <n v="61152"/>
  </r>
  <r>
    <n v="1145"/>
    <s v="Nisha"/>
    <x v="3"/>
    <s v="Electronics"/>
    <s v="Keyboard"/>
    <n v="2"/>
    <n v="34429"/>
    <n v="12"/>
    <d v="2026-03-21T00:00:00"/>
    <d v="2026-03-31T00:00:00"/>
    <s v="Rahul"/>
    <n v="60595.040000000001"/>
  </r>
  <r>
    <n v="1196"/>
    <s v="Nitin"/>
    <x v="4"/>
    <s v="Electronics"/>
    <s v="Printer"/>
    <n v="20"/>
    <n v="3172"/>
    <n v="5"/>
    <d v="2026-05-13T00:00:00"/>
    <d v="2026-05-17T00:00:00"/>
    <s v="Amit"/>
    <n v="60268"/>
  </r>
  <r>
    <n v="1313"/>
    <s v="Anita"/>
    <x v="4"/>
    <s v="Furniture"/>
    <s v="Cabinet"/>
    <n v="6"/>
    <n v="10864"/>
    <n v="10"/>
    <d v="2026-01-19T00:00:00"/>
    <d v="2026-01-27T00:00:00"/>
    <s v="Kavya"/>
    <n v="58665.599999999999"/>
  </r>
  <r>
    <n v="1188"/>
    <s v="Priya"/>
    <x v="4"/>
    <s v="Furniture"/>
    <s v="Cabinet"/>
    <n v="6"/>
    <n v="10368"/>
    <n v="7"/>
    <d v="2026-04-25T00:00:00"/>
    <d v="2026-04-30T00:00:00"/>
    <s v="Kavya"/>
    <n v="57853.439999999995"/>
  </r>
  <r>
    <n v="1044"/>
    <s v="Nitin"/>
    <x v="6"/>
    <s v="Furniture"/>
    <s v="Desk"/>
    <n v="4"/>
    <n v="14731"/>
    <n v="2"/>
    <d v="2026-05-31T00:00:00"/>
    <d v="2026-06-03T00:00:00"/>
    <s v="Amit"/>
    <n v="57745.52"/>
  </r>
  <r>
    <n v="1323"/>
    <s v="Sara"/>
    <x v="6"/>
    <s v="Electronics"/>
    <s v="Mouse"/>
    <n v="2"/>
    <n v="32074"/>
    <n v="10"/>
    <d v="2026-02-20T00:00:00"/>
    <d v="2026-02-25T00:00:00"/>
    <s v="Kavya"/>
    <n v="57733.200000000004"/>
  </r>
  <r>
    <n v="1336"/>
    <s v="Pooja"/>
    <x v="2"/>
    <s v="Furniture"/>
    <s v="Cabinet"/>
    <n v="10"/>
    <n v="5624"/>
    <n v="0"/>
    <d v="2026-03-05T00:00:00"/>
    <d v="2026-03-11T00:00:00"/>
    <s v="Priya"/>
    <n v="56240"/>
  </r>
  <r>
    <n v="1107"/>
    <s v="Komal"/>
    <x v="7"/>
    <s v="Electronics"/>
    <s v="Laptop"/>
    <n v="4"/>
    <n v="14291"/>
    <n v="2"/>
    <d v="2026-02-23T00:00:00"/>
    <d v="2026-02-25T00:00:00"/>
    <s v="Kavya"/>
    <n v="56020.72"/>
  </r>
  <r>
    <n v="1244"/>
    <s v="Sara"/>
    <x v="6"/>
    <s v="Furniture"/>
    <s v="Chair"/>
    <n v="10"/>
    <n v="6339"/>
    <n v="12"/>
    <d v="2026-06-27T00:00:00"/>
    <d v="2026-07-02T00:00:00"/>
    <s v="Kavya"/>
    <n v="55783.199999999997"/>
  </r>
  <r>
    <n v="1133"/>
    <s v="Ritesh"/>
    <x v="5"/>
    <s v="Furniture"/>
    <s v="Cabinet"/>
    <n v="6"/>
    <n v="9037"/>
    <n v="2"/>
    <d v="2026-03-31T00:00:00"/>
    <d v="2026-04-09T00:00:00"/>
    <s v="Suresh"/>
    <n v="53137.56"/>
  </r>
  <r>
    <n v="1046"/>
    <s v="Sara"/>
    <x v="6"/>
    <s v="Electronics"/>
    <s v="Monitor"/>
    <n v="3"/>
    <n v="19443"/>
    <n v="10"/>
    <d v="2026-05-11T00:00:00"/>
    <d v="2026-05-16T00:00:00"/>
    <s v="Priya"/>
    <n v="52496.1"/>
  </r>
  <r>
    <n v="1002"/>
    <s v="Pooja"/>
    <x v="7"/>
    <s v="Furniture"/>
    <s v="Desk"/>
    <n v="7"/>
    <n v="8448"/>
    <n v="12"/>
    <d v="2026-06-01T00:00:00"/>
    <d v="2026-06-06T00:00:00"/>
    <s v="Amit"/>
    <n v="52039.68"/>
  </r>
  <r>
    <n v="1023"/>
    <s v="Deepak"/>
    <x v="5"/>
    <s v="Furniture"/>
    <s v="Bookshelf"/>
    <n v="15"/>
    <n v="3506"/>
    <n v="2"/>
    <d v="2026-06-20T00:00:00"/>
    <d v="2026-06-21T00:00:00"/>
    <s v="Priya"/>
    <n v="51538.2"/>
  </r>
  <r>
    <n v="1058"/>
    <s v="Komal"/>
    <x v="6"/>
    <s v="Furniture"/>
    <s v="Chair"/>
    <n v="10"/>
    <n v="5532"/>
    <n v="7"/>
    <d v="2026-02-21T00:00:00"/>
    <d v="2026-03-03T00:00:00"/>
    <s v="Rahul"/>
    <n v="51447.6"/>
  </r>
  <r>
    <n v="1162"/>
    <s v="Sara"/>
    <x v="1"/>
    <s v="Electronics"/>
    <s v="Monitor"/>
    <n v="2"/>
    <n v="28176"/>
    <n v="10"/>
    <d v="2026-03-19T00:00:00"/>
    <d v="2026-03-20T00:00:00"/>
    <s v="Amit"/>
    <n v="50716.800000000003"/>
  </r>
  <r>
    <n v="1150"/>
    <s v="Nisha"/>
    <x v="5"/>
    <s v="Furniture"/>
    <s v="Cabinet"/>
    <n v="10"/>
    <n v="5323"/>
    <n v="7"/>
    <d v="2026-05-01T00:00:00"/>
    <d v="2026-05-11T00:00:00"/>
    <s v="Rahul"/>
    <n v="49503.899999999994"/>
  </r>
  <r>
    <n v="1243"/>
    <s v="Neha"/>
    <x v="1"/>
    <s v="Electronics"/>
    <s v="Headset"/>
    <n v="5"/>
    <n v="11570"/>
    <n v="15"/>
    <d v="2026-02-16T00:00:00"/>
    <d v="2026-02-24T00:00:00"/>
    <s v="Rahul"/>
    <n v="49172.5"/>
  </r>
  <r>
    <n v="1124"/>
    <s v="Arjun"/>
    <x v="6"/>
    <s v="Furniture"/>
    <s v="Cabinet"/>
    <n v="4"/>
    <n v="14195"/>
    <n v="15"/>
    <d v="2026-06-09T00:00:00"/>
    <d v="2026-06-16T00:00:00"/>
    <s v="Suresh"/>
    <n v="48263"/>
  </r>
  <r>
    <n v="1155"/>
    <s v="Ritesh"/>
    <x v="1"/>
    <s v="Furniture"/>
    <s v="Chair"/>
    <n v="13"/>
    <n v="4341"/>
    <n v="15"/>
    <d v="2026-03-12T00:00:00"/>
    <d v="2026-03-15T00:00:00"/>
    <s v="Rahul"/>
    <n v="47968.049999999996"/>
  </r>
  <r>
    <n v="1193"/>
    <s v="Sara"/>
    <x v="5"/>
    <s v="Furniture"/>
    <s v="Table"/>
    <n v="19"/>
    <n v="2699"/>
    <n v="7"/>
    <d v="2026-03-29T00:00:00"/>
    <d v="2026-03-31T00:00:00"/>
    <s v="Priya"/>
    <n v="47691.329999999994"/>
  </r>
  <r>
    <n v="1358"/>
    <s v="Deepak"/>
    <x v="6"/>
    <s v="Furniture"/>
    <s v="Desk"/>
    <n v="7"/>
    <n v="6618"/>
    <n v="0"/>
    <d v="2026-04-15T00:00:00"/>
    <d v="2026-04-17T00:00:00"/>
    <s v="Amit"/>
    <n v="46326"/>
  </r>
  <r>
    <n v="1221"/>
    <s v="Ritesh"/>
    <x v="1"/>
    <s v="Furniture"/>
    <s v="Cabinet"/>
    <n v="18"/>
    <n v="2681"/>
    <n v="10"/>
    <d v="2026-04-10T00:00:00"/>
    <d v="2026-04-13T00:00:00"/>
    <s v="Suresh"/>
    <n v="43432.200000000004"/>
  </r>
  <r>
    <n v="1033"/>
    <s v="Ritesh"/>
    <x v="0"/>
    <s v="Furniture"/>
    <s v="Desk"/>
    <n v="9"/>
    <n v="4895"/>
    <n v="2"/>
    <d v="2026-03-01T00:00:00"/>
    <d v="2026-03-03T00:00:00"/>
    <s v="Priya"/>
    <n v="43173.9"/>
  </r>
  <r>
    <n v="1106"/>
    <s v="Arjun"/>
    <x v="0"/>
    <s v="Furniture"/>
    <s v="Table"/>
    <n v="20"/>
    <n v="2141"/>
    <n v="2"/>
    <d v="2026-03-10T00:00:00"/>
    <d v="2026-03-16T00:00:00"/>
    <s v="Priya"/>
    <n v="41963.6"/>
  </r>
  <r>
    <n v="1093"/>
    <s v="Yash"/>
    <x v="2"/>
    <s v="Furniture"/>
    <s v="Table"/>
    <n v="6"/>
    <n v="8224"/>
    <n v="15"/>
    <d v="2026-06-02T00:00:00"/>
    <d v="2026-06-12T00:00:00"/>
    <s v="Suresh"/>
    <n v="41942.400000000001"/>
  </r>
  <r>
    <n v="1321"/>
    <s v="Asha"/>
    <x v="4"/>
    <s v="Furniture"/>
    <s v="Desk"/>
    <n v="8"/>
    <n v="5619"/>
    <n v="7"/>
    <d v="2026-03-26T00:00:00"/>
    <d v="2026-03-28T00:00:00"/>
    <s v="Suresh"/>
    <n v="41805.360000000001"/>
  </r>
  <r>
    <n v="1208"/>
    <s v="Manoj"/>
    <x v="0"/>
    <s v="Furniture"/>
    <s v="Bookshelf"/>
    <n v="6"/>
    <n v="7627"/>
    <n v="10"/>
    <d v="2026-01-20T00:00:00"/>
    <d v="2026-01-25T00:00:00"/>
    <s v="Amit"/>
    <n v="41185.800000000003"/>
  </r>
  <r>
    <n v="1340"/>
    <s v="Nitin"/>
    <x v="7"/>
    <s v="Furniture"/>
    <s v="Desk"/>
    <n v="12"/>
    <n v="3857"/>
    <n v="12"/>
    <d v="2026-06-23T00:00:00"/>
    <d v="2026-06-25T00:00:00"/>
    <s v="Suresh"/>
    <n v="40729.919999999998"/>
  </r>
  <r>
    <n v="1232"/>
    <s v="Meera"/>
    <x v="5"/>
    <s v="Electronics"/>
    <s v="Laptop"/>
    <n v="3"/>
    <n v="13272"/>
    <n v="2"/>
    <d v="2026-02-07T00:00:00"/>
    <d v="2026-02-12T00:00:00"/>
    <s v="Kavya"/>
    <n v="39019.68"/>
  </r>
  <r>
    <n v="1190"/>
    <s v="Sara"/>
    <x v="7"/>
    <s v="Furniture"/>
    <s v="Chair"/>
    <n v="4"/>
    <n v="10154"/>
    <n v="7"/>
    <d v="2026-01-30T00:00:00"/>
    <d v="2026-02-09T00:00:00"/>
    <s v="Amit"/>
    <n v="37772.879999999997"/>
  </r>
  <r>
    <n v="1069"/>
    <s v="Komal"/>
    <x v="1"/>
    <s v="Furniture"/>
    <s v="Chair"/>
    <n v="9"/>
    <n v="4415"/>
    <n v="5"/>
    <d v="2026-01-17T00:00:00"/>
    <d v="2026-01-24T00:00:00"/>
    <s v="Kavya"/>
    <n v="37748.25"/>
  </r>
  <r>
    <n v="1131"/>
    <s v="Meera"/>
    <x v="1"/>
    <s v="Furniture"/>
    <s v="Table"/>
    <n v="13"/>
    <n v="3083"/>
    <n v="7"/>
    <d v="2026-05-26T00:00:00"/>
    <d v="2026-05-31T00:00:00"/>
    <s v="Suresh"/>
    <n v="37273.469999999994"/>
  </r>
  <r>
    <n v="1381"/>
    <s v="Sneha"/>
    <x v="3"/>
    <s v="Furniture"/>
    <s v="Chair"/>
    <n v="5"/>
    <n v="7484"/>
    <n v="2"/>
    <d v="2026-03-08T00:00:00"/>
    <d v="2026-03-12T00:00:00"/>
    <s v="Amit"/>
    <n v="36671.599999999999"/>
  </r>
  <r>
    <n v="1003"/>
    <s v="Meera"/>
    <x v="4"/>
    <s v="Furniture"/>
    <s v="Table"/>
    <n v="20"/>
    <n v="2123"/>
    <n v="15"/>
    <d v="2026-06-10T00:00:00"/>
    <d v="2026-06-19T00:00:00"/>
    <s v="Rahul"/>
    <n v="36091"/>
  </r>
  <r>
    <n v="1202"/>
    <s v="Sara"/>
    <x v="4"/>
    <s v="Electronics"/>
    <s v="Printer"/>
    <n v="2"/>
    <n v="20312"/>
    <n v="12"/>
    <d v="2026-03-01T00:00:00"/>
    <d v="2026-03-10T00:00:00"/>
    <s v="Kavya"/>
    <n v="35749.120000000003"/>
  </r>
  <r>
    <n v="1282"/>
    <s v="Sara"/>
    <x v="0"/>
    <s v="Furniture"/>
    <s v="Bookshelf"/>
    <n v="12"/>
    <n v="3178"/>
    <n v="10"/>
    <d v="2026-06-03T00:00:00"/>
    <d v="2026-06-04T00:00:00"/>
    <s v="Priya"/>
    <n v="34322.400000000001"/>
  </r>
  <r>
    <n v="1148"/>
    <s v="Anita"/>
    <x v="3"/>
    <s v="Furniture"/>
    <s v="Chair"/>
    <n v="11"/>
    <n v="3023"/>
    <n v="7"/>
    <d v="2026-01-08T00:00:00"/>
    <d v="2026-01-10T00:00:00"/>
    <s v="Rahul"/>
    <n v="30925.289999999997"/>
  </r>
  <r>
    <n v="1326"/>
    <s v="Vikram"/>
    <x v="7"/>
    <s v="Furniture"/>
    <s v="Bookshelf"/>
    <n v="18"/>
    <n v="1830"/>
    <n v="10"/>
    <d v="2026-05-23T00:00:00"/>
    <d v="2026-05-30T00:00:00"/>
    <s v="Kavya"/>
    <n v="29646"/>
  </r>
  <r>
    <n v="1094"/>
    <s v="Yash"/>
    <x v="0"/>
    <s v="Electronics"/>
    <s v="Mouse"/>
    <n v="4"/>
    <n v="7073"/>
    <n v="0"/>
    <d v="2026-03-20T00:00:00"/>
    <d v="2026-03-24T00:00:00"/>
    <s v="Priya"/>
    <n v="28292"/>
  </r>
  <r>
    <n v="1128"/>
    <s v="Neha"/>
    <x v="4"/>
    <s v="Electronics"/>
    <s v="Mouse"/>
    <n v="6"/>
    <n v="5001"/>
    <n v="7"/>
    <d v="2026-01-22T00:00:00"/>
    <d v="2026-01-28T00:00:00"/>
    <s v="Priya"/>
    <n v="27905.579999999998"/>
  </r>
  <r>
    <n v="1056"/>
    <s v="Ritesh"/>
    <x v="4"/>
    <s v="Furniture"/>
    <s v="Desk"/>
    <n v="3"/>
    <n v="9771"/>
    <n v="5"/>
    <d v="2026-04-21T00:00:00"/>
    <d v="2026-04-27T00:00:00"/>
    <s v="Rahul"/>
    <n v="27847.35"/>
  </r>
  <r>
    <n v="1035"/>
    <s v="Ajay"/>
    <x v="0"/>
    <s v="Furniture"/>
    <s v="Cabinet"/>
    <n v="3"/>
    <n v="9149"/>
    <n v="0"/>
    <d v="2026-01-09T00:00:00"/>
    <d v="2026-01-12T00:00:00"/>
    <s v="Rahul"/>
    <n v="27447"/>
  </r>
  <r>
    <n v="1300"/>
    <s v="Yash"/>
    <x v="3"/>
    <s v="Electronics"/>
    <s v="Monitor"/>
    <n v="20"/>
    <n v="1392"/>
    <n v="2"/>
    <d v="2026-03-29T00:00:00"/>
    <d v="2026-04-05T00:00:00"/>
    <s v="Rahul"/>
    <n v="27283.200000000001"/>
  </r>
  <r>
    <n v="1084"/>
    <s v="Ajay"/>
    <x v="1"/>
    <s v="Furniture"/>
    <s v="Chair"/>
    <n v="4"/>
    <n v="6901"/>
    <n v="10"/>
    <d v="2026-01-25T00:00:00"/>
    <d v="2026-02-04T00:00:00"/>
    <s v="Amit"/>
    <n v="24843.600000000002"/>
  </r>
  <r>
    <n v="1364"/>
    <s v="Neha"/>
    <x v="4"/>
    <s v="Furniture"/>
    <s v="Cabinet"/>
    <n v="16"/>
    <n v="1744"/>
    <n v="15"/>
    <d v="2026-01-09T00:00:00"/>
    <d v="2026-01-11T00:00:00"/>
    <s v="Suresh"/>
    <n v="23718.399999999998"/>
  </r>
  <r>
    <n v="1246"/>
    <s v="Sneha"/>
    <x v="4"/>
    <s v="Electronics"/>
    <s v="Printer"/>
    <n v="13"/>
    <n v="1825"/>
    <n v="2"/>
    <d v="2026-01-17T00:00:00"/>
    <d v="2026-01-23T00:00:00"/>
    <s v="Suresh"/>
    <n v="23250.5"/>
  </r>
  <r>
    <n v="1020"/>
    <s v="Kiran"/>
    <x v="5"/>
    <s v="Furniture"/>
    <s v="Desk"/>
    <n v="5"/>
    <n v="4582"/>
    <n v="5"/>
    <d v="2026-02-25T00:00:00"/>
    <d v="2026-03-02T00:00:00"/>
    <s v="Kavya"/>
    <n v="21764.5"/>
  </r>
  <r>
    <n v="1239"/>
    <s v="Nitin"/>
    <x v="7"/>
    <s v="Furniture"/>
    <s v="Cabinet"/>
    <n v="2"/>
    <n v="12330"/>
    <n v="12"/>
    <d v="2026-04-10T00:00:00"/>
    <d v="2026-04-13T00:00:00"/>
    <s v="Kavya"/>
    <n v="21700.799999999999"/>
  </r>
  <r>
    <n v="1116"/>
    <s v="Pooja"/>
    <x v="2"/>
    <s v="Furniture"/>
    <s v="Cabinet"/>
    <n v="2"/>
    <n v="12692"/>
    <n v="15"/>
    <d v="2026-01-27T00:00:00"/>
    <d v="2026-01-29T00:00:00"/>
    <s v="Kavya"/>
    <n v="21576.399999999998"/>
  </r>
  <r>
    <n v="1222"/>
    <s v="Neha"/>
    <x v="3"/>
    <s v="Furniture"/>
    <s v="Table"/>
    <n v="9"/>
    <n v="2712"/>
    <n v="12"/>
    <d v="2026-05-12T00:00:00"/>
    <d v="2026-05-21T00:00:00"/>
    <s v="Kavya"/>
    <n v="21479.040000000001"/>
  </r>
  <r>
    <n v="1123"/>
    <s v="Asha"/>
    <x v="1"/>
    <s v="Electronics"/>
    <s v="Monitor"/>
    <n v="16"/>
    <n v="1332"/>
    <n v="7"/>
    <d v="2026-03-26T00:00:00"/>
    <d v="2026-03-28T00:00:00"/>
    <s v="Priya"/>
    <n v="19820.16"/>
  </r>
  <r>
    <n v="1024"/>
    <s v="Asha"/>
    <x v="6"/>
    <s v="Electronics"/>
    <s v="Headset"/>
    <n v="12"/>
    <n v="1682"/>
    <n v="5"/>
    <d v="2026-05-19T00:00:00"/>
    <d v="2026-05-23T00:00:00"/>
    <s v="Kavya"/>
    <n v="19174.8"/>
  </r>
  <r>
    <n v="1230"/>
    <s v="Anita"/>
    <x v="3"/>
    <s v="Electronics"/>
    <s v="Laptop"/>
    <n v="7"/>
    <n v="2932"/>
    <n v="7"/>
    <d v="2026-01-28T00:00:00"/>
    <d v="2026-02-06T00:00:00"/>
    <s v="Rahul"/>
    <n v="19087.32"/>
  </r>
  <r>
    <n v="1301"/>
    <s v="Manoj"/>
    <x v="7"/>
    <s v="Furniture"/>
    <s v="Chair"/>
    <n v="3"/>
    <n v="7020"/>
    <n v="10"/>
    <d v="2026-01-06T00:00:00"/>
    <d v="2026-01-16T00:00:00"/>
    <s v="Rahul"/>
    <n v="18954"/>
  </r>
  <r>
    <n v="1227"/>
    <s v="Rohan"/>
    <x v="4"/>
    <s v="Electronics"/>
    <s v="Monitor"/>
    <n v="16"/>
    <n v="1321"/>
    <n v="12"/>
    <d v="2026-04-01T00:00:00"/>
    <d v="2026-04-04T00:00:00"/>
    <s v="Kavya"/>
    <n v="18599.68"/>
  </r>
  <r>
    <n v="1371"/>
    <s v="Nitin"/>
    <x v="6"/>
    <s v="Furniture"/>
    <s v="Desk"/>
    <n v="19"/>
    <n v="1087"/>
    <n v="15"/>
    <d v="2026-02-19T00:00:00"/>
    <d v="2026-03-01T00:00:00"/>
    <s v="Amit"/>
    <n v="17555.05"/>
  </r>
  <r>
    <n v="1220"/>
    <s v="Ritesh"/>
    <x v="2"/>
    <s v="Furniture"/>
    <s v="Cabinet"/>
    <n v="2"/>
    <n v="8861"/>
    <n v="2"/>
    <d v="2026-05-28T00:00:00"/>
    <d v="2026-06-01T00:00:00"/>
    <s v="Rahul"/>
    <n v="17367.560000000001"/>
  </r>
  <r>
    <n v="1262"/>
    <s v="Pooja"/>
    <x v="4"/>
    <s v="Furniture"/>
    <s v="Chair"/>
    <n v="9"/>
    <n v="2231"/>
    <n v="15"/>
    <d v="2026-06-01T00:00:00"/>
    <d v="2026-06-10T00:00:00"/>
    <s v="Kavya"/>
    <n v="17067.149999999998"/>
  </r>
  <r>
    <n v="1211"/>
    <s v="Nitin"/>
    <x v="7"/>
    <s v="Electronics"/>
    <s v="Printer"/>
    <n v="3"/>
    <n v="5962"/>
    <n v="7"/>
    <d v="2026-06-02T00:00:00"/>
    <d v="2026-06-10T00:00:00"/>
    <s v="Kavya"/>
    <n v="16633.98"/>
  </r>
  <r>
    <n v="1057"/>
    <s v="Anita"/>
    <x v="4"/>
    <s v="Furniture"/>
    <s v="Chair"/>
    <n v="2"/>
    <n v="9531"/>
    <n v="15"/>
    <d v="2026-02-14T00:00:00"/>
    <d v="2026-02-23T00:00:00"/>
    <s v="Suresh"/>
    <n v="16202.699999999999"/>
  </r>
  <r>
    <n v="1351"/>
    <s v="Nisha"/>
    <x v="3"/>
    <s v="Electronics"/>
    <s v="Monitor"/>
    <n v="12"/>
    <n v="1272"/>
    <n v="0"/>
    <d v="2026-01-04T00:00:00"/>
    <d v="2026-01-07T00:00:00"/>
    <s v="Kavya"/>
    <n v="15264"/>
  </r>
  <r>
    <n v="1263"/>
    <s v="Priya"/>
    <x v="6"/>
    <s v="Furniture"/>
    <s v="Chair"/>
    <n v="10"/>
    <n v="1505"/>
    <n v="0"/>
    <d v="2026-04-18T00:00:00"/>
    <d v="2026-04-26T00:00:00"/>
    <s v="Suresh"/>
    <n v="15050"/>
  </r>
  <r>
    <n v="1377"/>
    <s v="Asha"/>
    <x v="6"/>
    <s v="Furniture"/>
    <s v="Desk"/>
    <n v="3"/>
    <n v="5480"/>
    <n v="12"/>
    <d v="2026-03-24T00:00:00"/>
    <d v="2026-03-30T00:00:00"/>
    <s v="Rahul"/>
    <n v="14467.2"/>
  </r>
  <r>
    <n v="1234"/>
    <s v="Ritesh"/>
    <x v="2"/>
    <s v="Furniture"/>
    <s v="Chair"/>
    <n v="1"/>
    <n v="14320"/>
    <n v="12"/>
    <d v="2026-04-02T00:00:00"/>
    <d v="2026-04-09T00:00:00"/>
    <s v="Suresh"/>
    <n v="12601.6"/>
  </r>
  <r>
    <n v="1241"/>
    <s v="Kiran"/>
    <x v="1"/>
    <s v="Furniture"/>
    <s v="Bookshelf"/>
    <n v="1"/>
    <n v="12537"/>
    <n v="0"/>
    <d v="2026-04-07T00:00:00"/>
    <d v="2026-04-10T00:00:00"/>
    <s v="Kavya"/>
    <n v="12537"/>
  </r>
  <r>
    <n v="1335"/>
    <s v="Yash"/>
    <x v="7"/>
    <s v="Furniture"/>
    <s v="Desk"/>
    <n v="9"/>
    <n v="1495"/>
    <n v="12"/>
    <d v="2026-05-26T00:00:00"/>
    <d v="2026-05-31T00:00:00"/>
    <s v="Kavya"/>
    <n v="11840.4"/>
  </r>
  <r>
    <n v="1286"/>
    <s v="Kiran"/>
    <x v="7"/>
    <s v="Furniture"/>
    <s v="Cabinet"/>
    <n v="9"/>
    <n v="1340"/>
    <n v="2"/>
    <d v="2026-05-26T00:00:00"/>
    <d v="2026-05-31T00:00:00"/>
    <s v="Kavya"/>
    <n v="11818.8"/>
  </r>
  <r>
    <n v="1112"/>
    <s v="Meera"/>
    <x v="0"/>
    <s v="Furniture"/>
    <s v="Bookshelf"/>
    <n v="7"/>
    <n v="1959"/>
    <n v="15"/>
    <d v="2026-03-09T00:00:00"/>
    <d v="2026-03-19T00:00:00"/>
    <s v="Kavya"/>
    <n v="11656.05"/>
  </r>
  <r>
    <n v="1276"/>
    <s v="Deepak"/>
    <x v="5"/>
    <s v="Furniture"/>
    <s v="Desk"/>
    <n v="1"/>
    <n v="13437"/>
    <n v="15"/>
    <d v="2026-03-16T00:00:00"/>
    <d v="2026-03-18T00:00:00"/>
    <s v="Rahul"/>
    <n v="11421.449999999999"/>
  </r>
  <r>
    <n v="1240"/>
    <s v="Sneha"/>
    <x v="3"/>
    <s v="Furniture"/>
    <s v="Table"/>
    <n v="2"/>
    <n v="5475"/>
    <n v="2"/>
    <d v="2026-04-30T00:00:00"/>
    <d v="2026-05-04T00:00:00"/>
    <s v="Priya"/>
    <n v="10731"/>
  </r>
  <r>
    <n v="1362"/>
    <s v="Pooja"/>
    <x v="5"/>
    <s v="Furniture"/>
    <s v="Chair"/>
    <n v="1"/>
    <n v="10474"/>
    <n v="0"/>
    <d v="2026-03-13T00:00:00"/>
    <d v="2026-03-15T00:00:00"/>
    <s v="Priya"/>
    <n v="10474"/>
  </r>
  <r>
    <n v="1095"/>
    <s v="Yash"/>
    <x v="2"/>
    <s v="Electronics"/>
    <s v="Headset"/>
    <n v="18"/>
    <n v="587"/>
    <n v="2"/>
    <d v="2026-05-25T00:00:00"/>
    <d v="2026-05-29T00:00:00"/>
    <s v="Amit"/>
    <n v="10354.68"/>
  </r>
  <r>
    <n v="1258"/>
    <s v="Asha"/>
    <x v="1"/>
    <s v="Electronics"/>
    <s v="Laptop"/>
    <n v="1"/>
    <n v="10600"/>
    <n v="5"/>
    <d v="2026-04-25T00:00:00"/>
    <d v="2026-04-26T00:00:00"/>
    <s v="Priya"/>
    <n v="10070"/>
  </r>
  <r>
    <n v="1073"/>
    <s v="Rohan"/>
    <x v="7"/>
    <s v="Furniture"/>
    <s v="Cabinet"/>
    <n v="4"/>
    <n v="2453"/>
    <n v="7"/>
    <d v="2026-04-14T00:00:00"/>
    <d v="2026-04-17T00:00:00"/>
    <s v="Suresh"/>
    <n v="9125.16"/>
  </r>
  <r>
    <n v="1397"/>
    <s v="Meera"/>
    <x v="3"/>
    <s v="Furniture"/>
    <s v="Table"/>
    <n v="1"/>
    <n v="8948"/>
    <n v="5"/>
    <d v="2026-06-21T00:00:00"/>
    <d v="2026-06-28T00:00:00"/>
    <s v="Suresh"/>
    <n v="8500.6"/>
  </r>
  <r>
    <n v="1223"/>
    <s v="Anita"/>
    <x v="7"/>
    <s v="Furniture"/>
    <s v="Table"/>
    <n v="4"/>
    <n v="2249"/>
    <n v="7"/>
    <d v="2026-02-24T00:00:00"/>
    <d v="2026-03-03T00:00:00"/>
    <s v="Kavya"/>
    <n v="8366.2799999999988"/>
  </r>
  <r>
    <n v="1053"/>
    <s v="Pooja"/>
    <x v="3"/>
    <s v="Furniture"/>
    <s v="Chair"/>
    <n v="1"/>
    <n v="9749"/>
    <n v="15"/>
    <d v="2026-02-11T00:00:00"/>
    <d v="2026-02-17T00:00:00"/>
    <s v="Rahul"/>
    <n v="8286.65"/>
  </r>
  <r>
    <n v="1376"/>
    <s v="Komal"/>
    <x v="1"/>
    <s v="Stationery"/>
    <s v="Marker"/>
    <n v="20"/>
    <n v="429"/>
    <n v="5"/>
    <d v="2026-06-05T00:00:00"/>
    <d v="2026-06-11T00:00:00"/>
    <s v="Amit"/>
    <n v="8151"/>
  </r>
  <r>
    <n v="1199"/>
    <s v="Ritesh"/>
    <x v="2"/>
    <s v="Electronics"/>
    <s v="Monitor"/>
    <n v="2"/>
    <n v="4375"/>
    <n v="7"/>
    <d v="2026-06-05T00:00:00"/>
    <d v="2026-06-07T00:00:00"/>
    <s v="Rahul"/>
    <n v="8137.4999999999991"/>
  </r>
  <r>
    <n v="1006"/>
    <s v="Arjun"/>
    <x v="2"/>
    <s v="Furniture"/>
    <s v="Chair"/>
    <n v="3"/>
    <n v="2714"/>
    <n v="5"/>
    <d v="2026-02-02T00:00:00"/>
    <d v="2026-02-09T00:00:00"/>
    <s v="Priya"/>
    <n v="7734.9"/>
  </r>
  <r>
    <n v="1275"/>
    <s v="Pooja"/>
    <x v="1"/>
    <s v="Stationery"/>
    <s v="Marker"/>
    <n v="20"/>
    <n v="451"/>
    <n v="15"/>
    <d v="2026-03-11T00:00:00"/>
    <d v="2026-03-13T00:00:00"/>
    <s v="Amit"/>
    <n v="7667"/>
  </r>
  <r>
    <n v="1029"/>
    <s v="Neha"/>
    <x v="2"/>
    <s v="Stationery"/>
    <s v="Stapler"/>
    <n v="18"/>
    <n v="443"/>
    <n v="5"/>
    <d v="2026-01-24T00:00:00"/>
    <d v="2026-02-01T00:00:00"/>
    <s v="Rahul"/>
    <n v="7575.2999999999993"/>
  </r>
  <r>
    <n v="1215"/>
    <s v="Arjun"/>
    <x v="5"/>
    <s v="Furniture"/>
    <s v="Chair"/>
    <n v="6"/>
    <n v="1254"/>
    <n v="0"/>
    <d v="2026-04-19T00:00:00"/>
    <d v="2026-04-24T00:00:00"/>
    <s v="Priya"/>
    <n v="7524"/>
  </r>
  <r>
    <n v="1065"/>
    <s v="Nisha"/>
    <x v="0"/>
    <s v="Furniture"/>
    <s v="Bookshelf"/>
    <n v="1"/>
    <n v="7730"/>
    <n v="5"/>
    <d v="2026-06-19T00:00:00"/>
    <d v="2026-06-22T00:00:00"/>
    <s v="Suresh"/>
    <n v="7343.5"/>
  </r>
  <r>
    <n v="1333"/>
    <s v="Priya"/>
    <x v="6"/>
    <s v="Stationery"/>
    <s v="Diary"/>
    <n v="20"/>
    <n v="416"/>
    <n v="12"/>
    <d v="2026-05-03T00:00:00"/>
    <d v="2026-05-04T00:00:00"/>
    <s v="Suresh"/>
    <n v="7321.6"/>
  </r>
  <r>
    <n v="1256"/>
    <s v="Nitin"/>
    <x v="1"/>
    <s v="Stationery"/>
    <s v="Marker"/>
    <n v="19"/>
    <n v="406"/>
    <n v="7"/>
    <d v="2026-02-04T00:00:00"/>
    <d v="2026-02-08T00:00:00"/>
    <s v="Kavya"/>
    <n v="7174.0199999999995"/>
  </r>
  <r>
    <n v="1119"/>
    <s v="Neha"/>
    <x v="0"/>
    <s v="Furniture"/>
    <s v="Chair"/>
    <n v="2"/>
    <n v="3706"/>
    <n v="5"/>
    <d v="2026-06-11T00:00:00"/>
    <d v="2026-06-19T00:00:00"/>
    <s v="Suresh"/>
    <n v="7041.4"/>
  </r>
  <r>
    <n v="1013"/>
    <s v="Pooja"/>
    <x v="1"/>
    <s v="Stationery"/>
    <s v="Stapler"/>
    <n v="17"/>
    <n v="459"/>
    <n v="12"/>
    <d v="2026-03-14T00:00:00"/>
    <d v="2026-03-24T00:00:00"/>
    <s v="Priya"/>
    <n v="6866.64"/>
  </r>
  <r>
    <n v="1283"/>
    <s v="Deepak"/>
    <x v="5"/>
    <s v="Furniture"/>
    <s v="Table"/>
    <n v="6"/>
    <n v="1167"/>
    <n v="2"/>
    <d v="2026-03-19T00:00:00"/>
    <d v="2026-03-25T00:00:00"/>
    <s v="Kavya"/>
    <n v="6861.96"/>
  </r>
  <r>
    <n v="1304"/>
    <s v="Anita"/>
    <x v="2"/>
    <s v="Stationery"/>
    <s v="Stapler"/>
    <n v="20"/>
    <n v="368"/>
    <n v="7"/>
    <d v="2026-01-20T00:00:00"/>
    <d v="2026-01-29T00:00:00"/>
    <s v="Suresh"/>
    <n v="6844.7999999999993"/>
  </r>
  <r>
    <n v="1254"/>
    <s v="Komal"/>
    <x v="4"/>
    <s v="Stationery"/>
    <s v="Marker"/>
    <n v="18"/>
    <n v="447"/>
    <n v="15"/>
    <d v="2026-04-29T00:00:00"/>
    <d v="2026-05-07T00:00:00"/>
    <s v="Rahul"/>
    <n v="6839.0999999999995"/>
  </r>
  <r>
    <n v="1291"/>
    <s v="Meera"/>
    <x v="7"/>
    <s v="Stationery"/>
    <s v="Stapler"/>
    <n v="17"/>
    <n v="415"/>
    <n v="5"/>
    <d v="2026-04-25T00:00:00"/>
    <d v="2026-04-29T00:00:00"/>
    <s v="Amit"/>
    <n v="6702.25"/>
  </r>
  <r>
    <n v="1284"/>
    <s v="Deepak"/>
    <x v="2"/>
    <s v="Stationery"/>
    <s v="Pen Pack"/>
    <n v="16"/>
    <n v="419"/>
    <n v="2"/>
    <d v="2026-03-01T00:00:00"/>
    <d v="2026-03-09T00:00:00"/>
    <s v="Kavya"/>
    <n v="6569.92"/>
  </r>
  <r>
    <n v="1327"/>
    <s v="Nitin"/>
    <x v="5"/>
    <s v="Stationery"/>
    <s v="Diary"/>
    <n v="15"/>
    <n v="449"/>
    <n v="5"/>
    <d v="2026-05-10T00:00:00"/>
    <d v="2026-05-11T00:00:00"/>
    <s v="Kavya"/>
    <n v="6398.25"/>
  </r>
  <r>
    <n v="1010"/>
    <s v="Ritesh"/>
    <x v="7"/>
    <s v="Stationery"/>
    <s v="Stapler"/>
    <n v="14"/>
    <n v="470"/>
    <n v="5"/>
    <d v="2026-02-09T00:00:00"/>
    <d v="2026-02-15T00:00:00"/>
    <s v="Kavya"/>
    <n v="6251"/>
  </r>
  <r>
    <n v="1266"/>
    <s v="Priya"/>
    <x v="3"/>
    <s v="Stationery"/>
    <s v="Notebook"/>
    <n v="17"/>
    <n v="365"/>
    <n v="2"/>
    <d v="2026-03-15T00:00:00"/>
    <d v="2026-03-23T00:00:00"/>
    <s v="Suresh"/>
    <n v="6080.9"/>
  </r>
  <r>
    <n v="1018"/>
    <s v="Yash"/>
    <x v="2"/>
    <s v="Stationery"/>
    <s v="Notebook"/>
    <n v="20"/>
    <n v="301"/>
    <n v="0"/>
    <d v="2026-03-08T00:00:00"/>
    <d v="2026-03-13T00:00:00"/>
    <s v="Priya"/>
    <n v="6020"/>
  </r>
  <r>
    <n v="1195"/>
    <s v="Anita"/>
    <x v="7"/>
    <s v="Stationery"/>
    <s v="Marker"/>
    <n v="19"/>
    <n v="313"/>
    <n v="2"/>
    <d v="2026-06-25T00:00:00"/>
    <d v="2026-07-03T00:00:00"/>
    <s v="Suresh"/>
    <n v="5828.0599999999995"/>
  </r>
  <r>
    <n v="1143"/>
    <s v="Priya"/>
    <x v="7"/>
    <s v="Stationery"/>
    <s v="Pen Pack"/>
    <n v="13"/>
    <n v="456"/>
    <n v="2"/>
    <d v="2026-05-18T00:00:00"/>
    <d v="2026-05-25T00:00:00"/>
    <s v="Rahul"/>
    <n v="5809.44"/>
  </r>
  <r>
    <n v="1198"/>
    <s v="Rohan"/>
    <x v="5"/>
    <s v="Stationery"/>
    <s v="Notebook"/>
    <n v="12"/>
    <n v="491"/>
    <n v="2"/>
    <d v="2026-03-25T00:00:00"/>
    <d v="2026-03-28T00:00:00"/>
    <s v="Suresh"/>
    <n v="5774.16"/>
  </r>
  <r>
    <n v="1098"/>
    <s v="Vikram"/>
    <x v="2"/>
    <s v="Stationery"/>
    <s v="Diary"/>
    <n v="17"/>
    <n v="345"/>
    <n v="2"/>
    <d v="2026-04-14T00:00:00"/>
    <d v="2026-04-15T00:00:00"/>
    <s v="Suresh"/>
    <n v="5747.7"/>
  </r>
  <r>
    <n v="1028"/>
    <s v="Yash"/>
    <x v="4"/>
    <s v="Stationery"/>
    <s v="Stapler"/>
    <n v="13"/>
    <n v="433"/>
    <n v="2"/>
    <d v="2026-04-04T00:00:00"/>
    <d v="2026-04-09T00:00:00"/>
    <s v="Rahul"/>
    <n v="5516.42"/>
  </r>
  <r>
    <n v="1168"/>
    <s v="Manoj"/>
    <x v="5"/>
    <s v="Stationery"/>
    <s v="Pen Pack"/>
    <n v="18"/>
    <n v="335"/>
    <n v="15"/>
    <d v="2026-04-18T00:00:00"/>
    <d v="2026-04-28T00:00:00"/>
    <s v="Priya"/>
    <n v="5125.5"/>
  </r>
  <r>
    <n v="1099"/>
    <s v="Vikram"/>
    <x v="1"/>
    <s v="Furniture"/>
    <s v="Desk"/>
    <n v="1"/>
    <n v="5165"/>
    <n v="2"/>
    <d v="2026-02-05T00:00:00"/>
    <d v="2026-02-07T00:00:00"/>
    <s v="Kavya"/>
    <n v="5061.7"/>
  </r>
  <r>
    <n v="1026"/>
    <s v="Ajay"/>
    <x v="1"/>
    <s v="Stationery"/>
    <s v="Marker"/>
    <n v="17"/>
    <n v="323"/>
    <n v="10"/>
    <d v="2026-01-17T00:00:00"/>
    <d v="2026-01-18T00:00:00"/>
    <s v="Priya"/>
    <n v="4941.9000000000005"/>
  </r>
  <r>
    <n v="1204"/>
    <s v="Pooja"/>
    <x v="1"/>
    <s v="Stationery"/>
    <s v="Pen Pack"/>
    <n v="13"/>
    <n v="416"/>
    <n v="10"/>
    <d v="2026-04-11T00:00:00"/>
    <d v="2026-04-20T00:00:00"/>
    <s v="Amit"/>
    <n v="4867.2"/>
  </r>
  <r>
    <n v="1167"/>
    <s v="Nitin"/>
    <x v="7"/>
    <s v="Stationery"/>
    <s v="Pen Pack"/>
    <n v="20"/>
    <n v="251"/>
    <n v="5"/>
    <d v="2026-05-18T00:00:00"/>
    <d v="2026-05-28T00:00:00"/>
    <s v="Priya"/>
    <n v="4769"/>
  </r>
  <r>
    <n v="1337"/>
    <s v="Pooja"/>
    <x v="5"/>
    <s v="Stationery"/>
    <s v="Diary"/>
    <n v="14"/>
    <n v="373"/>
    <n v="10"/>
    <d v="2026-02-21T00:00:00"/>
    <d v="2026-02-27T00:00:00"/>
    <s v="Priya"/>
    <n v="4699.8"/>
  </r>
  <r>
    <n v="1087"/>
    <s v="Ritesh"/>
    <x v="1"/>
    <s v="Stationery"/>
    <s v="Pen Pack"/>
    <n v="13"/>
    <n v="387"/>
    <n v="7"/>
    <d v="2026-05-29T00:00:00"/>
    <d v="2026-06-03T00:00:00"/>
    <s v="Rahul"/>
    <n v="4678.83"/>
  </r>
  <r>
    <n v="1151"/>
    <s v="Kiran"/>
    <x v="0"/>
    <s v="Stationery"/>
    <s v="Marker"/>
    <n v="20"/>
    <n v="272"/>
    <n v="15"/>
    <d v="2026-01-02T00:00:00"/>
    <d v="2026-01-07T00:00:00"/>
    <s v="Suresh"/>
    <n v="4624"/>
  </r>
  <r>
    <n v="1383"/>
    <s v="Asha"/>
    <x v="5"/>
    <s v="Stationery"/>
    <s v="Diary"/>
    <n v="14"/>
    <n v="334"/>
    <n v="10"/>
    <d v="2026-06-23T00:00:00"/>
    <d v="2026-06-30T00:00:00"/>
    <s v="Kavya"/>
    <n v="4208.4000000000005"/>
  </r>
  <r>
    <n v="1050"/>
    <s v="Asha"/>
    <x v="2"/>
    <s v="Stationery"/>
    <s v="Diary"/>
    <n v="12"/>
    <n v="360"/>
    <n v="5"/>
    <d v="2026-04-15T00:00:00"/>
    <d v="2026-04-25T00:00:00"/>
    <s v="Priya"/>
    <n v="4104"/>
  </r>
  <r>
    <n v="1370"/>
    <s v="Anita"/>
    <x v="6"/>
    <s v="Stationery"/>
    <s v="Diary"/>
    <n v="13"/>
    <n v="337"/>
    <n v="7"/>
    <d v="2026-06-11T00:00:00"/>
    <d v="2026-06-15T00:00:00"/>
    <s v="Kavya"/>
    <n v="4074.33"/>
  </r>
  <r>
    <n v="1180"/>
    <s v="Deepak"/>
    <x v="1"/>
    <s v="Furniture"/>
    <s v="Chair"/>
    <n v="2"/>
    <n v="2076"/>
    <n v="2"/>
    <d v="2026-03-30T00:00:00"/>
    <d v="2026-04-09T00:00:00"/>
    <s v="Priya"/>
    <n v="4068.96"/>
  </r>
  <r>
    <n v="1120"/>
    <s v="Asha"/>
    <x v="6"/>
    <s v="Stationery"/>
    <s v="Stapler"/>
    <n v="10"/>
    <n v="438"/>
    <n v="10"/>
    <d v="2026-02-08T00:00:00"/>
    <d v="2026-02-12T00:00:00"/>
    <s v="Suresh"/>
    <n v="3942"/>
  </r>
  <r>
    <n v="1030"/>
    <s v="Komal"/>
    <x v="5"/>
    <s v="Stationery"/>
    <s v="Diary"/>
    <n v="13"/>
    <n v="336"/>
    <n v="10"/>
    <d v="2026-03-17T00:00:00"/>
    <d v="2026-03-27T00:00:00"/>
    <s v="Kavya"/>
    <n v="3931.2000000000003"/>
  </r>
  <r>
    <n v="1137"/>
    <s v="Komal"/>
    <x v="5"/>
    <s v="Stationery"/>
    <s v="Pen Pack"/>
    <n v="16"/>
    <n v="270"/>
    <n v="10"/>
    <d v="2026-06-11T00:00:00"/>
    <d v="2026-06-17T00:00:00"/>
    <s v="Priya"/>
    <n v="3888"/>
  </r>
  <r>
    <n v="1344"/>
    <s v="Neha"/>
    <x v="7"/>
    <s v="Stationery"/>
    <s v="Diary"/>
    <n v="18"/>
    <n v="240"/>
    <n v="10"/>
    <d v="2026-05-13T00:00:00"/>
    <d v="2026-05-14T00:00:00"/>
    <s v="Rahul"/>
    <n v="3888"/>
  </r>
  <r>
    <n v="1329"/>
    <s v="Neha"/>
    <x v="0"/>
    <s v="Stationery"/>
    <s v="Diary"/>
    <n v="18"/>
    <n v="227"/>
    <n v="5"/>
    <d v="2026-04-14T00:00:00"/>
    <d v="2026-04-24T00:00:00"/>
    <s v="Priya"/>
    <n v="3881.7"/>
  </r>
  <r>
    <n v="1277"/>
    <s v="Anita"/>
    <x v="7"/>
    <s v="Stationery"/>
    <s v="Stapler"/>
    <n v="14"/>
    <n v="276"/>
    <n v="0"/>
    <d v="2026-03-05T00:00:00"/>
    <d v="2026-03-08T00:00:00"/>
    <s v="Kavya"/>
    <n v="3864"/>
  </r>
  <r>
    <n v="1042"/>
    <s v="Kiran"/>
    <x v="3"/>
    <s v="Stationery"/>
    <s v="Diary"/>
    <n v="16"/>
    <n v="232"/>
    <n v="0"/>
    <d v="2026-02-28T00:00:00"/>
    <d v="2026-03-07T00:00:00"/>
    <s v="Priya"/>
    <n v="3712"/>
  </r>
  <r>
    <n v="1287"/>
    <s v="Anita"/>
    <x v="1"/>
    <s v="Stationery"/>
    <s v="Notebook"/>
    <n v="15"/>
    <n v="251"/>
    <n v="2"/>
    <d v="2026-04-04T00:00:00"/>
    <d v="2026-04-10T00:00:00"/>
    <s v="Suresh"/>
    <n v="3689.7"/>
  </r>
  <r>
    <n v="1252"/>
    <s v="Yash"/>
    <x v="2"/>
    <s v="Stationery"/>
    <s v="Stapler"/>
    <n v="15"/>
    <n v="257"/>
    <n v="5"/>
    <d v="2026-05-24T00:00:00"/>
    <d v="2026-05-31T00:00:00"/>
    <s v="Amit"/>
    <n v="3662.25"/>
  </r>
  <r>
    <n v="1074"/>
    <s v="Vikram"/>
    <x v="1"/>
    <s v="Stationery"/>
    <s v="Marker"/>
    <n v="11"/>
    <n v="390"/>
    <n v="15"/>
    <d v="2026-04-02T00:00:00"/>
    <d v="2026-04-11T00:00:00"/>
    <s v="Priya"/>
    <n v="3646.5"/>
  </r>
  <r>
    <n v="1324"/>
    <s v="Asha"/>
    <x v="4"/>
    <s v="Furniture"/>
    <s v="Desk"/>
    <n v="1"/>
    <n v="4286"/>
    <n v="15"/>
    <d v="2026-01-31T00:00:00"/>
    <d v="2026-02-03T00:00:00"/>
    <s v="Amit"/>
    <n v="3643.1"/>
  </r>
  <r>
    <n v="1064"/>
    <s v="Vikram"/>
    <x v="7"/>
    <s v="Stationery"/>
    <s v="Marker"/>
    <n v="20"/>
    <n v="191"/>
    <n v="7"/>
    <d v="2026-06-12T00:00:00"/>
    <d v="2026-06-22T00:00:00"/>
    <s v="Priya"/>
    <n v="3552.6"/>
  </r>
  <r>
    <n v="1038"/>
    <s v="Sneha"/>
    <x v="7"/>
    <s v="Stationery"/>
    <s v="Stapler"/>
    <n v="17"/>
    <n v="223"/>
    <n v="7"/>
    <d v="2026-01-08T00:00:00"/>
    <d v="2026-01-09T00:00:00"/>
    <s v="Suresh"/>
    <n v="3525.6299999999997"/>
  </r>
  <r>
    <n v="1210"/>
    <s v="Neha"/>
    <x v="1"/>
    <s v="Stationery"/>
    <s v="Diary"/>
    <n v="10"/>
    <n v="349"/>
    <n v="0"/>
    <d v="2026-01-30T00:00:00"/>
    <d v="2026-02-07T00:00:00"/>
    <s v="Priya"/>
    <n v="3490"/>
  </r>
  <r>
    <n v="1361"/>
    <s v="Nisha"/>
    <x v="7"/>
    <s v="Furniture"/>
    <s v="Table"/>
    <n v="2"/>
    <n v="1822"/>
    <n v="5"/>
    <d v="2026-04-29T00:00:00"/>
    <d v="2026-05-03T00:00:00"/>
    <s v="Amit"/>
    <n v="3461.7999999999997"/>
  </r>
  <r>
    <n v="1235"/>
    <s v="Sara"/>
    <x v="2"/>
    <s v="Stationery"/>
    <s v="Marker"/>
    <n v="15"/>
    <n v="267"/>
    <n v="15"/>
    <d v="2026-05-30T00:00:00"/>
    <d v="2026-06-04T00:00:00"/>
    <s v="Priya"/>
    <n v="3404.25"/>
  </r>
  <r>
    <n v="1144"/>
    <s v="Nisha"/>
    <x v="2"/>
    <s v="Stationery"/>
    <s v="Notebook"/>
    <n v="16"/>
    <n v="219"/>
    <n v="7"/>
    <d v="2026-04-26T00:00:00"/>
    <d v="2026-04-28T00:00:00"/>
    <s v="Amit"/>
    <n v="3258.72"/>
  </r>
  <r>
    <n v="1247"/>
    <s v="Vikram"/>
    <x v="5"/>
    <s v="Stationery"/>
    <s v="Marker"/>
    <n v="10"/>
    <n v="336"/>
    <n v="7"/>
    <d v="2026-05-31T00:00:00"/>
    <d v="2026-06-02T00:00:00"/>
    <s v="Amit"/>
    <n v="3124.7999999999997"/>
  </r>
  <r>
    <n v="1261"/>
    <s v="Deepak"/>
    <x v="7"/>
    <s v="Stationery"/>
    <s v="Marker"/>
    <n v="20"/>
    <n v="162"/>
    <n v="7"/>
    <d v="2026-04-07T00:00:00"/>
    <d v="2026-04-08T00:00:00"/>
    <s v="Suresh"/>
    <n v="3013.2"/>
  </r>
  <r>
    <n v="1332"/>
    <s v="Priya"/>
    <x v="0"/>
    <s v="Stationery"/>
    <s v="Marker"/>
    <n v="7"/>
    <n v="439"/>
    <n v="2"/>
    <d v="2026-05-12T00:00:00"/>
    <d v="2026-05-15T00:00:00"/>
    <s v="Kavya"/>
    <n v="3011.54"/>
  </r>
  <r>
    <n v="1036"/>
    <s v="Ritesh"/>
    <x v="2"/>
    <s v="Stationery"/>
    <s v="Stapler"/>
    <n v="20"/>
    <n v="161"/>
    <n v="7"/>
    <d v="2026-02-18T00:00:00"/>
    <d v="2026-02-24T00:00:00"/>
    <s v="Rahul"/>
    <n v="2994.6"/>
  </r>
  <r>
    <n v="1100"/>
    <s v="Ritesh"/>
    <x v="1"/>
    <s v="Stationery"/>
    <s v="Notebook"/>
    <n v="11"/>
    <n v="296"/>
    <n v="10"/>
    <d v="2026-01-05T00:00:00"/>
    <d v="2026-01-09T00:00:00"/>
    <s v="Suresh"/>
    <n v="2930.4"/>
  </r>
  <r>
    <n v="1353"/>
    <s v="Yash"/>
    <x v="0"/>
    <s v="Stationery"/>
    <s v="Notebook"/>
    <n v="6"/>
    <n v="495"/>
    <n v="2"/>
    <d v="2026-06-21T00:00:00"/>
    <d v="2026-06-27T00:00:00"/>
    <s v="Rahul"/>
    <n v="2910.6"/>
  </r>
  <r>
    <n v="1173"/>
    <s v="Deepak"/>
    <x v="7"/>
    <s v="Stationery"/>
    <s v="Pen Pack"/>
    <n v="15"/>
    <n v="214"/>
    <n v="10"/>
    <d v="2026-01-28T00:00:00"/>
    <d v="2026-02-07T00:00:00"/>
    <s v="Suresh"/>
    <n v="2889"/>
  </r>
  <r>
    <n v="1055"/>
    <s v="Nitin"/>
    <x v="5"/>
    <s v="Stationery"/>
    <s v="Pen Pack"/>
    <n v="18"/>
    <n v="185"/>
    <n v="15"/>
    <d v="2026-02-24T00:00:00"/>
    <d v="2026-02-25T00:00:00"/>
    <s v="Kavya"/>
    <n v="2830.5"/>
  </r>
  <r>
    <n v="1348"/>
    <s v="Ritesh"/>
    <x v="3"/>
    <s v="Stationery"/>
    <s v="Marker"/>
    <n v="12"/>
    <n v="244"/>
    <n v="7"/>
    <d v="2026-01-26T00:00:00"/>
    <d v="2026-01-31T00:00:00"/>
    <s v="Kavya"/>
    <n v="2723.04"/>
  </r>
  <r>
    <n v="1007"/>
    <s v="Meera"/>
    <x v="4"/>
    <s v="Stationery"/>
    <s v="Notebook"/>
    <n v="19"/>
    <n v="149"/>
    <n v="7"/>
    <d v="2026-05-20T00:00:00"/>
    <d v="2026-05-26T00:00:00"/>
    <s v="Rahul"/>
    <n v="2632.83"/>
  </r>
  <r>
    <n v="1052"/>
    <s v="Sneha"/>
    <x v="5"/>
    <s v="Stationery"/>
    <s v="Notebook"/>
    <n v="17"/>
    <n v="172"/>
    <n v="10"/>
    <d v="2026-05-17T00:00:00"/>
    <d v="2026-05-23T00:00:00"/>
    <s v="Amit"/>
    <n v="2631.6"/>
  </r>
  <r>
    <n v="1285"/>
    <s v="Asha"/>
    <x v="6"/>
    <s v="Stationery"/>
    <s v="Stapler"/>
    <n v="7"/>
    <n v="439"/>
    <n v="15"/>
    <d v="2026-02-02T00:00:00"/>
    <d v="2026-02-05T00:00:00"/>
    <s v="Amit"/>
    <n v="2612.0499999999997"/>
  </r>
  <r>
    <n v="1132"/>
    <s v="Ritesh"/>
    <x v="1"/>
    <s v="Stationery"/>
    <s v="Marker"/>
    <n v="10"/>
    <n v="270"/>
    <n v="7"/>
    <d v="2026-01-02T00:00:00"/>
    <d v="2026-01-12T00:00:00"/>
    <s v="Rahul"/>
    <n v="2511"/>
  </r>
  <r>
    <n v="1115"/>
    <s v="Anita"/>
    <x v="0"/>
    <s v="Stationery"/>
    <s v="Marker"/>
    <n v="9"/>
    <n v="303"/>
    <n v="10"/>
    <d v="2026-05-07T00:00:00"/>
    <d v="2026-05-15T00:00:00"/>
    <s v="Priya"/>
    <n v="2454.3000000000002"/>
  </r>
  <r>
    <n v="1352"/>
    <s v="Manoj"/>
    <x v="4"/>
    <s v="Stationery"/>
    <s v="Notebook"/>
    <n v="12"/>
    <n v="203"/>
    <n v="5"/>
    <d v="2026-01-02T00:00:00"/>
    <d v="2026-01-11T00:00:00"/>
    <s v="Kavya"/>
    <n v="2314.1999999999998"/>
  </r>
  <r>
    <n v="1201"/>
    <s v="Manoj"/>
    <x v="1"/>
    <s v="Stationery"/>
    <s v="Diary"/>
    <n v="18"/>
    <n v="139"/>
    <n v="12"/>
    <d v="2026-02-22T00:00:00"/>
    <d v="2026-02-23T00:00:00"/>
    <s v="Amit"/>
    <n v="2201.7600000000002"/>
  </r>
  <r>
    <n v="1171"/>
    <s v="Sara"/>
    <x v="2"/>
    <s v="Stationery"/>
    <s v="Marker"/>
    <n v="17"/>
    <n v="147"/>
    <n v="12"/>
    <d v="2026-05-13T00:00:00"/>
    <d v="2026-05-18T00:00:00"/>
    <s v="Amit"/>
    <n v="2199.12"/>
  </r>
  <r>
    <n v="1070"/>
    <s v="Komal"/>
    <x v="0"/>
    <s v="Stationery"/>
    <s v="Stapler"/>
    <n v="10"/>
    <n v="233"/>
    <n v="7"/>
    <d v="2026-02-23T00:00:00"/>
    <d v="2026-02-24T00:00:00"/>
    <s v="Priya"/>
    <n v="2166.8999999999996"/>
  </r>
  <r>
    <n v="1255"/>
    <s v="Asha"/>
    <x v="7"/>
    <s v="Furniture"/>
    <s v="Desk"/>
    <n v="1"/>
    <n v="2240"/>
    <n v="5"/>
    <d v="2026-03-10T00:00:00"/>
    <d v="2026-03-14T00:00:00"/>
    <s v="Amit"/>
    <n v="2128"/>
  </r>
  <r>
    <n v="1236"/>
    <s v="Manoj"/>
    <x v="0"/>
    <s v="Stationery"/>
    <s v="Pen Pack"/>
    <n v="12"/>
    <n v="189"/>
    <n v="7"/>
    <d v="2026-05-22T00:00:00"/>
    <d v="2026-05-27T00:00:00"/>
    <s v="Priya"/>
    <n v="2109.2399999999998"/>
  </r>
  <r>
    <n v="1357"/>
    <s v="Anita"/>
    <x v="2"/>
    <s v="Stationery"/>
    <s v="Pen Pack"/>
    <n v="6"/>
    <n v="365"/>
    <n v="7"/>
    <d v="2026-04-21T00:00:00"/>
    <d v="2026-04-28T00:00:00"/>
    <s v="Suresh"/>
    <n v="2036.6999999999998"/>
  </r>
  <r>
    <n v="1059"/>
    <s v="Manoj"/>
    <x v="2"/>
    <s v="Stationery"/>
    <s v="Marker"/>
    <n v="20"/>
    <n v="112"/>
    <n v="10"/>
    <d v="2026-04-01T00:00:00"/>
    <d v="2026-04-10T00:00:00"/>
    <s v="Suresh"/>
    <n v="2016"/>
  </r>
  <r>
    <n v="1156"/>
    <s v="Manoj"/>
    <x v="6"/>
    <s v="Stationery"/>
    <s v="Stapler"/>
    <n v="5"/>
    <n v="466"/>
    <n v="15"/>
    <d v="2026-01-03T00:00:00"/>
    <d v="2026-01-07T00:00:00"/>
    <s v="Kavya"/>
    <n v="1980.5"/>
  </r>
  <r>
    <n v="1174"/>
    <s v="Rohan"/>
    <x v="6"/>
    <s v="Stationery"/>
    <s v="Notebook"/>
    <n v="13"/>
    <n v="155"/>
    <n v="2"/>
    <d v="2026-02-13T00:00:00"/>
    <d v="2026-02-16T00:00:00"/>
    <s v="Rahul"/>
    <n v="1974.7"/>
  </r>
  <r>
    <n v="1365"/>
    <s v="Kiran"/>
    <x v="3"/>
    <s v="Stationery"/>
    <s v="Marker"/>
    <n v="17"/>
    <n v="119"/>
    <n v="7"/>
    <d v="2026-02-17T00:00:00"/>
    <d v="2026-02-19T00:00:00"/>
    <s v="Amit"/>
    <n v="1881.3899999999999"/>
  </r>
  <r>
    <n v="1248"/>
    <s v="Arjun"/>
    <x v="0"/>
    <s v="Stationery"/>
    <s v="Pen Pack"/>
    <n v="5"/>
    <n v="398"/>
    <n v="7"/>
    <d v="2026-05-19T00:00:00"/>
    <d v="2026-05-29T00:00:00"/>
    <s v="Priya"/>
    <n v="1850.6999999999998"/>
  </r>
  <r>
    <n v="1170"/>
    <s v="Ajay"/>
    <x v="6"/>
    <s v="Stationery"/>
    <s v="Notebook"/>
    <n v="6"/>
    <n v="339"/>
    <n v="12"/>
    <d v="2026-03-24T00:00:00"/>
    <d v="2026-03-25T00:00:00"/>
    <s v="Rahul"/>
    <n v="1789.92"/>
  </r>
  <r>
    <n v="1339"/>
    <s v="Asha"/>
    <x v="2"/>
    <s v="Stationery"/>
    <s v="Notebook"/>
    <n v="6"/>
    <n v="302"/>
    <n v="5"/>
    <d v="2026-04-30T00:00:00"/>
    <d v="2026-05-06T00:00:00"/>
    <s v="Amit"/>
    <n v="1721.3999999999999"/>
  </r>
  <r>
    <n v="1207"/>
    <s v="Sneha"/>
    <x v="2"/>
    <s v="Stationery"/>
    <s v="Diary"/>
    <n v="7"/>
    <n v="244"/>
    <n v="2"/>
    <d v="2026-05-22T00:00:00"/>
    <d v="2026-05-31T00:00:00"/>
    <s v="Rahul"/>
    <n v="1673.84"/>
  </r>
  <r>
    <n v="1281"/>
    <s v="Sneha"/>
    <x v="7"/>
    <s v="Stationery"/>
    <s v="Marker"/>
    <n v="6"/>
    <n v="253"/>
    <n v="0"/>
    <d v="2026-02-02T00:00:00"/>
    <d v="2026-02-10T00:00:00"/>
    <s v="Rahul"/>
    <n v="1518"/>
  </r>
  <r>
    <n v="1083"/>
    <s v="Sneha"/>
    <x v="3"/>
    <s v="Stationery"/>
    <s v="Diary"/>
    <n v="4"/>
    <n v="397"/>
    <n v="7"/>
    <d v="2026-06-12T00:00:00"/>
    <d v="2026-06-20T00:00:00"/>
    <s v="Kavya"/>
    <n v="1476.84"/>
  </r>
  <r>
    <n v="1021"/>
    <s v="Nitin"/>
    <x v="0"/>
    <s v="Stationery"/>
    <s v="Notebook"/>
    <n v="3"/>
    <n v="484"/>
    <n v="2"/>
    <d v="2026-05-02T00:00:00"/>
    <d v="2026-05-06T00:00:00"/>
    <s v="Rahul"/>
    <n v="1422.96"/>
  </r>
  <r>
    <n v="1181"/>
    <s v="Rohan"/>
    <x v="3"/>
    <s v="Stationery"/>
    <s v="Stapler"/>
    <n v="4"/>
    <n v="357"/>
    <n v="2"/>
    <d v="2026-01-11T00:00:00"/>
    <d v="2026-01-13T00:00:00"/>
    <s v="Kavya"/>
    <n v="1399.44"/>
  </r>
  <r>
    <n v="1394"/>
    <s v="Manoj"/>
    <x v="5"/>
    <s v="Stationery"/>
    <s v="Notebook"/>
    <n v="10"/>
    <n v="138"/>
    <n v="2"/>
    <d v="2026-02-03T00:00:00"/>
    <d v="2026-02-04T00:00:00"/>
    <s v="Kavya"/>
    <n v="1352.3999999999999"/>
  </r>
  <r>
    <n v="1379"/>
    <s v="Yash"/>
    <x v="7"/>
    <s v="Stationery"/>
    <s v="Notebook"/>
    <n v="11"/>
    <n v="136"/>
    <n v="15"/>
    <d v="2026-03-25T00:00:00"/>
    <d v="2026-03-26T00:00:00"/>
    <s v="Amit"/>
    <n v="1271.5999999999999"/>
  </r>
  <r>
    <n v="1005"/>
    <s v="Vikram"/>
    <x v="7"/>
    <s v="Stationery"/>
    <s v="Notebook"/>
    <n v="18"/>
    <n v="70"/>
    <n v="0"/>
    <d v="2026-05-29T00:00:00"/>
    <d v="2026-06-06T00:00:00"/>
    <s v="Rahul"/>
    <n v="1260"/>
  </r>
  <r>
    <n v="1017"/>
    <s v="Kiran"/>
    <x v="6"/>
    <s v="Stationery"/>
    <s v="Stapler"/>
    <n v="8"/>
    <n v="179"/>
    <n v="15"/>
    <d v="2026-03-01T00:00:00"/>
    <d v="2026-03-03T00:00:00"/>
    <s v="Kavya"/>
    <n v="1217.2"/>
  </r>
  <r>
    <n v="1296"/>
    <s v="Vikram"/>
    <x v="6"/>
    <s v="Stationery"/>
    <s v="Marker"/>
    <n v="6"/>
    <n v="201"/>
    <n v="0"/>
    <d v="2026-02-10T00:00:00"/>
    <d v="2026-02-19T00:00:00"/>
    <s v="Suresh"/>
    <n v="1206"/>
  </r>
  <r>
    <n v="1380"/>
    <s v="Komal"/>
    <x v="0"/>
    <s v="Stationery"/>
    <s v="Diary"/>
    <n v="3"/>
    <n v="412"/>
    <n v="7"/>
    <d v="2026-04-16T00:00:00"/>
    <d v="2026-04-26T00:00:00"/>
    <s v="Rahul"/>
    <n v="1149.48"/>
  </r>
  <r>
    <n v="1008"/>
    <s v="Neha"/>
    <x v="1"/>
    <s v="Furniture"/>
    <s v="Chair"/>
    <n v="1"/>
    <n v="1134"/>
    <n v="0"/>
    <d v="2026-01-11T00:00:00"/>
    <d v="2026-01-19T00:00:00"/>
    <s v="Rahul"/>
    <n v="1134"/>
  </r>
  <r>
    <n v="1399"/>
    <s v="Nitin"/>
    <x v="1"/>
    <s v="Stationery"/>
    <s v="Notebook"/>
    <n v="15"/>
    <n v="87"/>
    <n v="15"/>
    <d v="2026-03-08T00:00:00"/>
    <d v="2026-03-12T00:00:00"/>
    <s v="Amit"/>
    <n v="1109.25"/>
  </r>
  <r>
    <n v="1011"/>
    <s v="Ritesh"/>
    <x v="7"/>
    <s v="Stationery"/>
    <s v="Pen Pack"/>
    <n v="14"/>
    <n v="88"/>
    <n v="12"/>
    <d v="2026-05-19T00:00:00"/>
    <d v="2026-05-21T00:00:00"/>
    <s v="Kavya"/>
    <n v="1084.1600000000001"/>
  </r>
  <r>
    <n v="1217"/>
    <s v="Neha"/>
    <x v="4"/>
    <s v="Stationery"/>
    <s v="Marker"/>
    <n v="18"/>
    <n v="60"/>
    <n v="0"/>
    <d v="2026-05-29T00:00:00"/>
    <d v="2026-05-30T00:00:00"/>
    <s v="Priya"/>
    <n v="1080"/>
  </r>
  <r>
    <n v="1242"/>
    <s v="Manoj"/>
    <x v="6"/>
    <s v="Stationery"/>
    <s v="Marker"/>
    <n v="7"/>
    <n v="168"/>
    <n v="10"/>
    <d v="2026-06-18T00:00:00"/>
    <d v="2026-06-23T00:00:00"/>
    <s v="Suresh"/>
    <n v="1058.4000000000001"/>
  </r>
  <r>
    <n v="1027"/>
    <s v="Priya"/>
    <x v="0"/>
    <s v="Stationery"/>
    <s v="Marker"/>
    <n v="4"/>
    <n v="264"/>
    <n v="0"/>
    <d v="2026-05-13T00:00:00"/>
    <d v="2026-05-19T00:00:00"/>
    <s v="Suresh"/>
    <n v="1056"/>
  </r>
  <r>
    <n v="1129"/>
    <s v="Rohan"/>
    <x v="7"/>
    <s v="Stationery"/>
    <s v="Marker"/>
    <n v="15"/>
    <n v="75"/>
    <n v="7"/>
    <d v="2026-05-18T00:00:00"/>
    <d v="2026-05-22T00:00:00"/>
    <s v="Priya"/>
    <n v="1046.25"/>
  </r>
  <r>
    <n v="1368"/>
    <s v="Sneha"/>
    <x v="6"/>
    <s v="Stationery"/>
    <s v="Stapler"/>
    <n v="9"/>
    <n v="115"/>
    <n v="0"/>
    <d v="2026-01-14T00:00:00"/>
    <d v="2026-01-23T00:00:00"/>
    <s v="Rahul"/>
    <n v="1035"/>
  </r>
  <r>
    <n v="1320"/>
    <s v="Yash"/>
    <x v="6"/>
    <s v="Stationery"/>
    <s v="Stapler"/>
    <n v="20"/>
    <n v="55"/>
    <n v="7"/>
    <d v="2026-06-10T00:00:00"/>
    <d v="2026-06-13T00:00:00"/>
    <s v="Amit"/>
    <n v="1022.9999999999999"/>
  </r>
  <r>
    <n v="1265"/>
    <s v="Rohan"/>
    <x v="4"/>
    <s v="Furniture"/>
    <s v="Desk"/>
    <n v="1"/>
    <n v="1052"/>
    <n v="7"/>
    <d v="2026-04-05T00:00:00"/>
    <d v="2026-04-15T00:00:00"/>
    <s v="Suresh"/>
    <n v="978.3599999999999"/>
  </r>
  <r>
    <n v="1238"/>
    <s v="Neha"/>
    <x v="1"/>
    <s v="Stationery"/>
    <s v="Notebook"/>
    <n v="6"/>
    <n v="180"/>
    <n v="12"/>
    <d v="2026-03-15T00:00:00"/>
    <d v="2026-03-16T00:00:00"/>
    <s v="Suresh"/>
    <n v="950.4"/>
  </r>
  <r>
    <n v="1105"/>
    <s v="Anita"/>
    <x v="2"/>
    <s v="Stationery"/>
    <s v="Marker"/>
    <n v="2"/>
    <n v="493"/>
    <n v="12"/>
    <d v="2026-02-04T00:00:00"/>
    <d v="2026-02-13T00:00:00"/>
    <s v="Suresh"/>
    <n v="867.68"/>
  </r>
  <r>
    <n v="1082"/>
    <s v="Meera"/>
    <x v="5"/>
    <s v="Stationery"/>
    <s v="Notebook"/>
    <n v="7"/>
    <n v="133"/>
    <n v="10"/>
    <d v="2026-02-22T00:00:00"/>
    <d v="2026-03-04T00:00:00"/>
    <s v="Suresh"/>
    <n v="837.9"/>
  </r>
  <r>
    <n v="1192"/>
    <s v="Meera"/>
    <x v="3"/>
    <s v="Stationery"/>
    <s v="Diary"/>
    <n v="18"/>
    <n v="49"/>
    <n v="12"/>
    <d v="2026-03-08T00:00:00"/>
    <d v="2026-03-14T00:00:00"/>
    <s v="Rahul"/>
    <n v="776.16"/>
  </r>
  <r>
    <n v="1091"/>
    <s v="Sneha"/>
    <x v="7"/>
    <s v="Stationery"/>
    <s v="Diary"/>
    <n v="2"/>
    <n v="305"/>
    <n v="0"/>
    <d v="2026-04-24T00:00:00"/>
    <d v="2026-05-02T00:00:00"/>
    <s v="Kavya"/>
    <n v="610"/>
  </r>
  <r>
    <n v="1183"/>
    <s v="Komal"/>
    <x v="0"/>
    <s v="Stationery"/>
    <s v="Notebook"/>
    <n v="2"/>
    <n v="309"/>
    <n v="2"/>
    <d v="2026-03-28T00:00:00"/>
    <d v="2026-03-30T00:00:00"/>
    <s v="Amit"/>
    <n v="605.64"/>
  </r>
  <r>
    <n v="1041"/>
    <s v="Manoj"/>
    <x v="6"/>
    <s v="Stationery"/>
    <s v="Marker"/>
    <n v="9"/>
    <n v="71"/>
    <n v="7"/>
    <d v="2026-06-12T00:00:00"/>
    <d v="2026-06-15T00:00:00"/>
    <s v="Kavya"/>
    <n v="594.27"/>
  </r>
  <r>
    <n v="1130"/>
    <s v="Nitin"/>
    <x v="3"/>
    <s v="Stationery"/>
    <s v="Notebook"/>
    <n v="12"/>
    <n v="50"/>
    <n v="2"/>
    <d v="2026-04-13T00:00:00"/>
    <d v="2026-04-19T00:00:00"/>
    <s v="Rahul"/>
    <n v="588"/>
  </r>
  <r>
    <n v="1001"/>
    <s v="Ritesh"/>
    <x v="5"/>
    <s v="Stationery"/>
    <s v="Notebook"/>
    <n v="3"/>
    <n v="222"/>
    <n v="15"/>
    <d v="2026-02-28T00:00:00"/>
    <d v="2026-03-02T00:00:00"/>
    <s v="Kavya"/>
    <n v="566.1"/>
  </r>
  <r>
    <n v="1051"/>
    <s v="Rohan"/>
    <x v="7"/>
    <s v="Stationery"/>
    <s v="Stapler"/>
    <n v="12"/>
    <n v="47"/>
    <n v="2"/>
    <d v="2026-01-15T00:00:00"/>
    <d v="2026-01-23T00:00:00"/>
    <s v="Kavya"/>
    <n v="552.72"/>
  </r>
  <r>
    <n v="1086"/>
    <s v="Asha"/>
    <x v="5"/>
    <s v="Stationery"/>
    <s v="Diary"/>
    <n v="15"/>
    <n v="40"/>
    <n v="10"/>
    <d v="2026-01-23T00:00:00"/>
    <d v="2026-01-27T00:00:00"/>
    <s v="Rahul"/>
    <n v="540"/>
  </r>
  <r>
    <n v="1206"/>
    <s v="Sneha"/>
    <x v="3"/>
    <s v="Stationery"/>
    <s v="Notebook"/>
    <n v="9"/>
    <n v="60"/>
    <n v="0"/>
    <d v="2026-05-24T00:00:00"/>
    <d v="2026-06-01T00:00:00"/>
    <s v="Kavya"/>
    <n v="540"/>
  </r>
  <r>
    <n v="1328"/>
    <s v="Pooja"/>
    <x v="6"/>
    <s v="Stationery"/>
    <s v="Stapler"/>
    <n v="4"/>
    <n v="132"/>
    <n v="0"/>
    <d v="2026-03-28T00:00:00"/>
    <d v="2026-04-02T00:00:00"/>
    <s v="Priya"/>
    <n v="528"/>
  </r>
  <r>
    <n v="1157"/>
    <s v="Komal"/>
    <x v="3"/>
    <s v="Stationery"/>
    <s v="Marker"/>
    <n v="3"/>
    <n v="203"/>
    <n v="15"/>
    <d v="2026-02-23T00:00:00"/>
    <d v="2026-02-27T00:00:00"/>
    <s v="Priya"/>
    <n v="517.65"/>
  </r>
  <r>
    <n v="1165"/>
    <s v="Nitin"/>
    <x v="2"/>
    <s v="Stationery"/>
    <s v="Pen Pack"/>
    <n v="1"/>
    <n v="427"/>
    <n v="0"/>
    <d v="2026-01-20T00:00:00"/>
    <d v="2026-01-28T00:00:00"/>
    <s v="Suresh"/>
    <n v="427"/>
  </r>
  <r>
    <n v="1280"/>
    <s v="Anita"/>
    <x v="6"/>
    <s v="Stationery"/>
    <s v="Diary"/>
    <n v="9"/>
    <n v="50"/>
    <n v="7"/>
    <d v="2026-03-04T00:00:00"/>
    <d v="2026-03-14T00:00:00"/>
    <s v="Suresh"/>
    <n v="418.5"/>
  </r>
  <r>
    <n v="1311"/>
    <s v="Sneha"/>
    <x v="5"/>
    <s v="Stationery"/>
    <s v="Notebook"/>
    <n v="2"/>
    <n v="209"/>
    <n v="0"/>
    <d v="2026-05-31T00:00:00"/>
    <d v="2026-06-03T00:00:00"/>
    <s v="Amit"/>
    <n v="418"/>
  </r>
  <r>
    <n v="1219"/>
    <s v="Kiran"/>
    <x v="4"/>
    <s v="Stationery"/>
    <s v="Notebook"/>
    <n v="4"/>
    <n v="117"/>
    <n v="15"/>
    <d v="2026-06-29T00:00:00"/>
    <d v="2026-07-03T00:00:00"/>
    <s v="Priya"/>
    <n v="397.8"/>
  </r>
  <r>
    <n v="1166"/>
    <s v="Asha"/>
    <x v="1"/>
    <s v="Stationery"/>
    <s v="Pen Pack"/>
    <n v="1"/>
    <n v="396"/>
    <n v="5"/>
    <d v="2026-03-11T00:00:00"/>
    <d v="2026-03-12T00:00:00"/>
    <s v="Amit"/>
    <n v="376.2"/>
  </r>
  <r>
    <n v="1396"/>
    <s v="Meera"/>
    <x v="6"/>
    <s v="Stationery"/>
    <s v="Diary"/>
    <n v="8"/>
    <n v="54"/>
    <n v="15"/>
    <d v="2026-01-09T00:00:00"/>
    <d v="2026-01-13T00:00:00"/>
    <s v="Kavya"/>
    <n v="367.2"/>
  </r>
  <r>
    <n v="1114"/>
    <s v="Pooja"/>
    <x v="2"/>
    <s v="Stationery"/>
    <s v="Marker"/>
    <n v="13"/>
    <n v="32"/>
    <n v="15"/>
    <d v="2026-02-13T00:00:00"/>
    <d v="2026-02-16T00:00:00"/>
    <s v="Kavya"/>
    <n v="353.59999999999997"/>
  </r>
  <r>
    <n v="1367"/>
    <s v="Manoj"/>
    <x v="2"/>
    <s v="Stationery"/>
    <s v="Diary"/>
    <n v="1"/>
    <n v="371"/>
    <n v="5"/>
    <d v="2026-05-16T00:00:00"/>
    <d v="2026-05-26T00:00:00"/>
    <s v="Priya"/>
    <n v="352.45"/>
  </r>
  <r>
    <n v="1031"/>
    <s v="Manoj"/>
    <x v="1"/>
    <s v="Stationery"/>
    <s v="Diary"/>
    <n v="2"/>
    <n v="184"/>
    <n v="5"/>
    <d v="2026-03-08T00:00:00"/>
    <d v="2026-03-12T00:00:00"/>
    <s v="Amit"/>
    <n v="349.59999999999997"/>
  </r>
  <r>
    <n v="1306"/>
    <s v="Manoj"/>
    <x v="0"/>
    <s v="Stationery"/>
    <s v="Stapler"/>
    <n v="1"/>
    <n v="332"/>
    <n v="0"/>
    <d v="2026-06-18T00:00:00"/>
    <d v="2026-06-21T00:00:00"/>
    <s v="Amit"/>
    <n v="332"/>
  </r>
  <r>
    <n v="1178"/>
    <s v="Sara"/>
    <x v="7"/>
    <s v="Stationery"/>
    <s v="Marker"/>
    <n v="5"/>
    <n v="50"/>
    <n v="0"/>
    <d v="2026-03-30T00:00:00"/>
    <d v="2026-04-05T00:00:00"/>
    <s v="Amit"/>
    <n v="250"/>
  </r>
  <r>
    <n v="1125"/>
    <s v="Ajay"/>
    <x v="3"/>
    <s v="Stationery"/>
    <s v="Notebook"/>
    <n v="6"/>
    <n v="30"/>
    <n v="2"/>
    <d v="2026-04-21T00:00:00"/>
    <d v="2026-04-26T00:00:00"/>
    <s v="Rahul"/>
    <n v="176.4"/>
  </r>
  <r>
    <n v="1318"/>
    <s v="Ritesh"/>
    <x v="0"/>
    <s v="Stationery"/>
    <s v="Marker"/>
    <n v="4"/>
    <n v="38"/>
    <n v="12"/>
    <d v="2026-05-27T00:00:00"/>
    <d v="2026-06-02T00:00:00"/>
    <s v="Priya"/>
    <n v="133.76"/>
  </r>
  <r>
    <n v="1218"/>
    <s v="Sneha"/>
    <x v="6"/>
    <s v="Stationery"/>
    <s v="Notebook"/>
    <n v="1"/>
    <n v="134"/>
    <n v="10"/>
    <d v="2026-05-01T00:00:00"/>
    <d v="2026-05-09T00:00:00"/>
    <s v="Suresh"/>
    <n v="120.60000000000001"/>
  </r>
  <r>
    <n v="1077"/>
    <s v="Sneha"/>
    <x v="2"/>
    <s v="Stationery"/>
    <s v="Notebook"/>
    <n v="1"/>
    <n v="123"/>
    <n v="10"/>
    <d v="2026-04-01T00:00:00"/>
    <d v="2026-04-09T00:00:00"/>
    <s v="Suresh"/>
    <n v="110.7"/>
  </r>
  <r>
    <n v="1205"/>
    <s v="Meera"/>
    <x v="6"/>
    <s v="Stationery"/>
    <s v="Stapler"/>
    <n v="1"/>
    <n v="112"/>
    <n v="7"/>
    <d v="2026-01-11T00:00:00"/>
    <d v="2026-01-18T00:00:00"/>
    <s v="Suresh"/>
    <n v="104.16"/>
  </r>
  <r>
    <n v="1309"/>
    <s v="Priya"/>
    <x v="1"/>
    <s v="Stationery"/>
    <s v="Marker"/>
    <n v="2"/>
    <n v="35"/>
    <n v="5"/>
    <d v="2026-06-24T00:00:00"/>
    <d v="2026-06-25T00:00:00"/>
    <s v="Rahul"/>
    <n v="66.5"/>
  </r>
  <r>
    <n v="1267"/>
    <s v="Arjun"/>
    <x v="6"/>
    <s v="Stationery"/>
    <s v="Marker"/>
    <n v="1"/>
    <n v="50"/>
    <n v="0"/>
    <d v="2026-04-17T00:00:00"/>
    <d v="2026-04-26T00:00:00"/>
    <s v="Amit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714B9-A357-423A-8805-C200477585E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2">
    <pivotField dataField="1" showAll="0"/>
    <pivotField showAll="0"/>
    <pivotField axis="axisRow" showAll="0" sortType="ascending">
      <items count="9">
        <item x="2"/>
        <item x="1"/>
        <item x="6"/>
        <item x="3"/>
        <item x="5"/>
        <item x="0"/>
        <item x="4"/>
        <item x="7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_ID" fld="0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tabSelected="1" topLeftCell="A40" workbookViewId="0">
      <selection activeCell="L52" sqref="L52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1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1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1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1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</row>
    <row r="7" spans="1:11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</row>
    <row r="8" spans="1:11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</row>
    <row r="9" spans="1:11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</row>
    <row r="10" spans="1:11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</row>
    <row r="11" spans="1:11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1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1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1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1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1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A82A-0204-4642-9BCB-92F966658CCC}">
  <dimension ref="A1:K401"/>
  <sheetViews>
    <sheetView topLeftCell="B1"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</cols>
  <sheetData>
    <row r="1" spans="1:11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6" t="s">
        <v>15</v>
      </c>
    </row>
    <row r="3" spans="1:11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6" t="s">
        <v>20</v>
      </c>
    </row>
    <row r="4" spans="1:11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6" t="s">
        <v>24</v>
      </c>
    </row>
    <row r="5" spans="1:11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6" t="s">
        <v>20</v>
      </c>
    </row>
    <row r="6" spans="1:11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6" t="s">
        <v>24</v>
      </c>
    </row>
    <row r="7" spans="1:11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6" t="s">
        <v>29</v>
      </c>
    </row>
    <row r="8" spans="1:11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6" t="s">
        <v>24</v>
      </c>
    </row>
    <row r="9" spans="1:11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6" t="s">
        <v>24</v>
      </c>
    </row>
    <row r="10" spans="1:11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6" t="s">
        <v>24</v>
      </c>
    </row>
    <row r="11" spans="1:11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6" t="s">
        <v>15</v>
      </c>
    </row>
    <row r="12" spans="1:11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6" t="s">
        <v>15</v>
      </c>
    </row>
    <row r="13" spans="1:11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6" t="s">
        <v>29</v>
      </c>
    </row>
    <row r="14" spans="1:11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6" t="s">
        <v>29</v>
      </c>
    </row>
    <row r="15" spans="1:11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6" t="s">
        <v>29</v>
      </c>
    </row>
    <row r="16" spans="1:11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6" t="s">
        <v>20</v>
      </c>
    </row>
    <row r="17" spans="1:11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6" t="s">
        <v>24</v>
      </c>
    </row>
    <row r="18" spans="1:11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6" t="s">
        <v>15</v>
      </c>
    </row>
    <row r="19" spans="1:11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6" t="s">
        <v>29</v>
      </c>
    </row>
    <row r="20" spans="1:11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6" t="s">
        <v>20</v>
      </c>
    </row>
    <row r="21" spans="1:11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6" t="s">
        <v>15</v>
      </c>
    </row>
    <row r="22" spans="1:11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6" t="s">
        <v>24</v>
      </c>
    </row>
    <row r="23" spans="1:11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6" t="s">
        <v>29</v>
      </c>
    </row>
    <row r="24" spans="1:11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6" t="s">
        <v>29</v>
      </c>
    </row>
    <row r="25" spans="1:11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6" t="s">
        <v>15</v>
      </c>
    </row>
    <row r="26" spans="1:11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6" t="s">
        <v>15</v>
      </c>
    </row>
    <row r="27" spans="1:11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6" t="s">
        <v>29</v>
      </c>
    </row>
    <row r="28" spans="1:11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6" t="s">
        <v>51</v>
      </c>
    </row>
    <row r="29" spans="1:11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6" t="s">
        <v>24</v>
      </c>
    </row>
    <row r="30" spans="1:11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6" t="s">
        <v>24</v>
      </c>
    </row>
    <row r="31" spans="1:11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6" t="s">
        <v>15</v>
      </c>
    </row>
    <row r="32" spans="1:11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6" t="s">
        <v>20</v>
      </c>
    </row>
    <row r="33" spans="1:11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6" t="s">
        <v>29</v>
      </c>
    </row>
    <row r="34" spans="1:11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6" t="s">
        <v>29</v>
      </c>
    </row>
    <row r="35" spans="1:11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6" t="s">
        <v>51</v>
      </c>
    </row>
    <row r="36" spans="1:11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6" t="s">
        <v>24</v>
      </c>
    </row>
    <row r="37" spans="1:11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6" t="s">
        <v>24</v>
      </c>
    </row>
    <row r="38" spans="1:11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6" t="s">
        <v>24</v>
      </c>
    </row>
    <row r="39" spans="1:11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6" t="s">
        <v>51</v>
      </c>
    </row>
    <row r="40" spans="1:11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6" t="s">
        <v>20</v>
      </c>
    </row>
    <row r="41" spans="1:11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6" t="s">
        <v>24</v>
      </c>
    </row>
    <row r="42" spans="1:11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6" t="s">
        <v>15</v>
      </c>
    </row>
    <row r="43" spans="1:11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6" t="s">
        <v>29</v>
      </c>
    </row>
    <row r="44" spans="1:11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6" t="s">
        <v>29</v>
      </c>
    </row>
    <row r="45" spans="1:11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6" t="s">
        <v>20</v>
      </c>
    </row>
    <row r="46" spans="1:11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6" t="s">
        <v>29</v>
      </c>
    </row>
    <row r="47" spans="1:11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6" t="s">
        <v>29</v>
      </c>
    </row>
    <row r="48" spans="1:11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6" t="s">
        <v>15</v>
      </c>
    </row>
    <row r="49" spans="1:11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6" t="s">
        <v>24</v>
      </c>
    </row>
    <row r="50" spans="1:11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6" t="s">
        <v>24</v>
      </c>
    </row>
    <row r="51" spans="1:11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6" t="s">
        <v>29</v>
      </c>
    </row>
    <row r="52" spans="1:11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6" t="s">
        <v>15</v>
      </c>
    </row>
    <row r="53" spans="1:11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6" t="s">
        <v>20</v>
      </c>
    </row>
    <row r="54" spans="1:11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6" t="s">
        <v>24</v>
      </c>
    </row>
    <row r="55" spans="1:11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6" t="s">
        <v>51</v>
      </c>
    </row>
    <row r="56" spans="1:11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6" t="s">
        <v>15</v>
      </c>
    </row>
    <row r="57" spans="1:11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6" t="s">
        <v>24</v>
      </c>
    </row>
    <row r="58" spans="1:11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6" t="s">
        <v>51</v>
      </c>
    </row>
    <row r="59" spans="1:11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6" t="s">
        <v>24</v>
      </c>
    </row>
    <row r="60" spans="1:11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6" t="s">
        <v>51</v>
      </c>
    </row>
    <row r="61" spans="1:11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6" t="s">
        <v>20</v>
      </c>
    </row>
    <row r="62" spans="1:11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6" t="s">
        <v>20</v>
      </c>
    </row>
    <row r="63" spans="1:11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6" t="s">
        <v>51</v>
      </c>
    </row>
    <row r="64" spans="1:11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6" t="s">
        <v>15</v>
      </c>
    </row>
    <row r="65" spans="1:11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6" t="s">
        <v>29</v>
      </c>
    </row>
    <row r="66" spans="1:11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6" t="s">
        <v>51</v>
      </c>
    </row>
    <row r="67" spans="1:11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6" t="s">
        <v>15</v>
      </c>
    </row>
    <row r="68" spans="1:11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6" t="s">
        <v>29</v>
      </c>
    </row>
    <row r="69" spans="1:11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6" t="s">
        <v>29</v>
      </c>
    </row>
    <row r="70" spans="1:11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6" t="s">
        <v>15</v>
      </c>
    </row>
    <row r="71" spans="1:11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6" t="s">
        <v>29</v>
      </c>
    </row>
    <row r="72" spans="1:11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6" t="s">
        <v>20</v>
      </c>
    </row>
    <row r="73" spans="1:11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6" t="s">
        <v>24</v>
      </c>
    </row>
    <row r="74" spans="1:11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6" t="s">
        <v>51</v>
      </c>
    </row>
    <row r="75" spans="1:11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6" t="s">
        <v>29</v>
      </c>
    </row>
    <row r="76" spans="1:11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6" t="s">
        <v>51</v>
      </c>
    </row>
    <row r="77" spans="1:11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6" t="s">
        <v>29</v>
      </c>
    </row>
    <row r="78" spans="1:11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6" t="s">
        <v>51</v>
      </c>
    </row>
    <row r="79" spans="1:11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6" t="s">
        <v>29</v>
      </c>
    </row>
    <row r="80" spans="1:11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6" t="s">
        <v>51</v>
      </c>
    </row>
    <row r="81" spans="1:11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6" t="s">
        <v>24</v>
      </c>
    </row>
    <row r="82" spans="1:11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6" t="s">
        <v>51</v>
      </c>
    </row>
    <row r="83" spans="1:11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6" t="s">
        <v>51</v>
      </c>
    </row>
    <row r="84" spans="1:11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6" t="s">
        <v>15</v>
      </c>
    </row>
    <row r="85" spans="1:11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6" t="s">
        <v>20</v>
      </c>
    </row>
    <row r="86" spans="1:11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6" t="s">
        <v>24</v>
      </c>
    </row>
    <row r="87" spans="1:11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6" t="s">
        <v>24</v>
      </c>
    </row>
    <row r="88" spans="1:11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6" t="s">
        <v>24</v>
      </c>
    </row>
    <row r="89" spans="1:11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6" t="s">
        <v>20</v>
      </c>
    </row>
    <row r="90" spans="1:11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6" t="s">
        <v>24</v>
      </c>
    </row>
    <row r="91" spans="1:11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6" t="s">
        <v>24</v>
      </c>
    </row>
    <row r="92" spans="1:11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6" t="s">
        <v>15</v>
      </c>
    </row>
    <row r="93" spans="1:11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6" t="s">
        <v>29</v>
      </c>
    </row>
    <row r="94" spans="1:11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6" t="s">
        <v>51</v>
      </c>
    </row>
    <row r="95" spans="1:11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6" t="s">
        <v>29</v>
      </c>
    </row>
    <row r="96" spans="1:11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6" t="s">
        <v>20</v>
      </c>
    </row>
    <row r="97" spans="1:11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6" t="s">
        <v>20</v>
      </c>
    </row>
    <row r="98" spans="1:11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6" t="s">
        <v>24</v>
      </c>
    </row>
    <row r="99" spans="1:11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6" t="s">
        <v>51</v>
      </c>
    </row>
    <row r="100" spans="1:11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6" t="s">
        <v>15</v>
      </c>
    </row>
    <row r="101" spans="1:11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6" t="s">
        <v>51</v>
      </c>
    </row>
    <row r="102" spans="1:11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6" t="s">
        <v>24</v>
      </c>
    </row>
    <row r="103" spans="1:11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6" t="s">
        <v>51</v>
      </c>
    </row>
    <row r="104" spans="1:11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6" t="s">
        <v>29</v>
      </c>
    </row>
    <row r="105" spans="1:11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6" t="s">
        <v>29</v>
      </c>
    </row>
    <row r="106" spans="1:11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6" t="s">
        <v>51</v>
      </c>
    </row>
    <row r="107" spans="1:11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6" t="s">
        <v>29</v>
      </c>
    </row>
    <row r="108" spans="1:11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6" t="s">
        <v>15</v>
      </c>
    </row>
    <row r="109" spans="1:11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6" t="s">
        <v>20</v>
      </c>
    </row>
    <row r="110" spans="1:11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6" t="s">
        <v>20</v>
      </c>
    </row>
    <row r="111" spans="1:11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6" t="s">
        <v>29</v>
      </c>
    </row>
    <row r="112" spans="1:11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6" t="s">
        <v>29</v>
      </c>
    </row>
    <row r="113" spans="1:11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6" t="s">
        <v>15</v>
      </c>
    </row>
    <row r="114" spans="1:11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6" t="s">
        <v>24</v>
      </c>
    </row>
    <row r="115" spans="1:11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6" t="s">
        <v>15</v>
      </c>
    </row>
    <row r="116" spans="1:11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6" t="s">
        <v>29</v>
      </c>
    </row>
    <row r="117" spans="1:11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6" t="s">
        <v>15</v>
      </c>
    </row>
    <row r="118" spans="1:11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6" t="s">
        <v>29</v>
      </c>
    </row>
    <row r="119" spans="1:11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6" t="s">
        <v>29</v>
      </c>
    </row>
    <row r="120" spans="1:11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6" t="s">
        <v>51</v>
      </c>
    </row>
    <row r="121" spans="1:11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6" t="s">
        <v>51</v>
      </c>
    </row>
    <row r="122" spans="1:11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6" t="s">
        <v>29</v>
      </c>
    </row>
    <row r="123" spans="1:11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6" t="s">
        <v>29</v>
      </c>
    </row>
    <row r="124" spans="1:11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6" t="s">
        <v>29</v>
      </c>
    </row>
    <row r="125" spans="1:11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6" t="s">
        <v>51</v>
      </c>
    </row>
    <row r="126" spans="1:11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6" t="s">
        <v>24</v>
      </c>
    </row>
    <row r="127" spans="1:11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6" t="s">
        <v>29</v>
      </c>
    </row>
    <row r="128" spans="1:11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6" t="s">
        <v>29</v>
      </c>
    </row>
    <row r="129" spans="1:11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6" t="s">
        <v>29</v>
      </c>
    </row>
    <row r="130" spans="1:11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6" t="s">
        <v>29</v>
      </c>
    </row>
    <row r="131" spans="1:11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6" t="s">
        <v>24</v>
      </c>
    </row>
    <row r="132" spans="1:11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6" t="s">
        <v>51</v>
      </c>
    </row>
    <row r="133" spans="1:11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6" t="s">
        <v>24</v>
      </c>
    </row>
    <row r="134" spans="1:11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6" t="s">
        <v>51</v>
      </c>
    </row>
    <row r="135" spans="1:11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6" t="s">
        <v>24</v>
      </c>
    </row>
    <row r="136" spans="1:11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6" t="s">
        <v>15</v>
      </c>
    </row>
    <row r="137" spans="1:11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6" t="s">
        <v>24</v>
      </c>
    </row>
    <row r="138" spans="1:11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6" t="s">
        <v>29</v>
      </c>
    </row>
    <row r="139" spans="1:11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6" t="s">
        <v>51</v>
      </c>
    </row>
    <row r="140" spans="1:11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6" t="s">
        <v>15</v>
      </c>
    </row>
    <row r="141" spans="1:11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6" t="s">
        <v>15</v>
      </c>
    </row>
    <row r="142" spans="1:11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6" t="s">
        <v>15</v>
      </c>
    </row>
    <row r="143" spans="1:11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6" t="s">
        <v>29</v>
      </c>
    </row>
    <row r="144" spans="1:11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6" t="s">
        <v>24</v>
      </c>
    </row>
    <row r="145" spans="1:11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6" t="s">
        <v>20</v>
      </c>
    </row>
    <row r="146" spans="1:11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6" t="s">
        <v>24</v>
      </c>
    </row>
    <row r="147" spans="1:11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6" t="s">
        <v>29</v>
      </c>
    </row>
    <row r="148" spans="1:11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6" t="s">
        <v>20</v>
      </c>
    </row>
    <row r="149" spans="1:11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6" t="s">
        <v>24</v>
      </c>
    </row>
    <row r="150" spans="1:11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6" t="s">
        <v>29</v>
      </c>
    </row>
    <row r="151" spans="1:11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6" t="s">
        <v>24</v>
      </c>
    </row>
    <row r="152" spans="1:11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6" t="s">
        <v>51</v>
      </c>
    </row>
    <row r="153" spans="1:11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6" t="s">
        <v>15</v>
      </c>
    </row>
    <row r="154" spans="1:11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6" t="s">
        <v>29</v>
      </c>
    </row>
    <row r="155" spans="1:11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6" t="s">
        <v>51</v>
      </c>
    </row>
    <row r="156" spans="1:11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6" t="s">
        <v>24</v>
      </c>
    </row>
    <row r="157" spans="1:11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6" t="s">
        <v>15</v>
      </c>
    </row>
    <row r="158" spans="1:11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6" t="s">
        <v>29</v>
      </c>
    </row>
    <row r="159" spans="1:11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6" t="s">
        <v>51</v>
      </c>
    </row>
    <row r="160" spans="1:11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6" t="s">
        <v>15</v>
      </c>
    </row>
    <row r="161" spans="1:11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6" t="s">
        <v>51</v>
      </c>
    </row>
    <row r="162" spans="1:11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6" t="s">
        <v>20</v>
      </c>
    </row>
    <row r="163" spans="1:11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6" t="s">
        <v>20</v>
      </c>
    </row>
    <row r="164" spans="1:11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6" t="s">
        <v>29</v>
      </c>
    </row>
    <row r="165" spans="1:11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6" t="s">
        <v>51</v>
      </c>
    </row>
    <row r="166" spans="1:11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6" t="s">
        <v>51</v>
      </c>
    </row>
    <row r="167" spans="1:11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6" t="s">
        <v>20</v>
      </c>
    </row>
    <row r="168" spans="1:11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6" t="s">
        <v>29</v>
      </c>
    </row>
    <row r="169" spans="1:11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6" t="s">
        <v>29</v>
      </c>
    </row>
    <row r="170" spans="1:11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6" t="s">
        <v>24</v>
      </c>
    </row>
    <row r="171" spans="1:11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6" t="s">
        <v>24</v>
      </c>
    </row>
    <row r="172" spans="1:11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6" t="s">
        <v>20</v>
      </c>
    </row>
    <row r="173" spans="1:11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6" t="s">
        <v>24</v>
      </c>
    </row>
    <row r="174" spans="1:11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6" t="s">
        <v>51</v>
      </c>
    </row>
    <row r="175" spans="1:11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6" t="s">
        <v>24</v>
      </c>
    </row>
    <row r="176" spans="1:11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6" t="s">
        <v>20</v>
      </c>
    </row>
    <row r="177" spans="1:11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6" t="s">
        <v>29</v>
      </c>
    </row>
    <row r="178" spans="1:11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6" t="s">
        <v>20</v>
      </c>
    </row>
    <row r="179" spans="1:11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6" t="s">
        <v>20</v>
      </c>
    </row>
    <row r="180" spans="1:11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6" t="s">
        <v>15</v>
      </c>
    </row>
    <row r="181" spans="1:11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6" t="s">
        <v>29</v>
      </c>
    </row>
    <row r="182" spans="1:11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6" t="s">
        <v>15</v>
      </c>
    </row>
    <row r="183" spans="1:11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6" t="s">
        <v>24</v>
      </c>
    </row>
    <row r="184" spans="1:11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6" t="s">
        <v>20</v>
      </c>
    </row>
    <row r="185" spans="1:11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6" t="s">
        <v>29</v>
      </c>
    </row>
    <row r="186" spans="1:11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6" t="s">
        <v>15</v>
      </c>
    </row>
    <row r="187" spans="1:11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6" t="s">
        <v>24</v>
      </c>
    </row>
    <row r="188" spans="1:11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6" t="s">
        <v>51</v>
      </c>
    </row>
    <row r="189" spans="1:11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6" t="s">
        <v>15</v>
      </c>
    </row>
    <row r="190" spans="1:11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6" t="s">
        <v>29</v>
      </c>
    </row>
    <row r="191" spans="1:11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6" t="s">
        <v>20</v>
      </c>
    </row>
    <row r="192" spans="1:11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6" t="s">
        <v>20</v>
      </c>
    </row>
    <row r="193" spans="1:11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6" t="s">
        <v>24</v>
      </c>
    </row>
    <row r="194" spans="1:11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6" t="s">
        <v>29</v>
      </c>
    </row>
    <row r="195" spans="1:11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6" t="s">
        <v>51</v>
      </c>
    </row>
    <row r="196" spans="1:11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6" t="s">
        <v>51</v>
      </c>
    </row>
    <row r="197" spans="1:11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6" t="s">
        <v>20</v>
      </c>
    </row>
    <row r="198" spans="1:11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6" t="s">
        <v>15</v>
      </c>
    </row>
    <row r="199" spans="1:11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6" t="s">
        <v>51</v>
      </c>
    </row>
    <row r="200" spans="1:11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6" t="s">
        <v>24</v>
      </c>
    </row>
    <row r="201" spans="1:11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6" t="s">
        <v>29</v>
      </c>
    </row>
    <row r="202" spans="1:11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6" t="s">
        <v>20</v>
      </c>
    </row>
    <row r="203" spans="1:11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6" t="s">
        <v>15</v>
      </c>
    </row>
    <row r="204" spans="1:11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6" t="s">
        <v>51</v>
      </c>
    </row>
    <row r="205" spans="1:11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6" t="s">
        <v>20</v>
      </c>
    </row>
    <row r="206" spans="1:11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6" t="s">
        <v>51</v>
      </c>
    </row>
    <row r="207" spans="1:11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6" t="s">
        <v>15</v>
      </c>
    </row>
    <row r="208" spans="1:11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6" t="s">
        <v>24</v>
      </c>
    </row>
    <row r="209" spans="1:11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6" t="s">
        <v>20</v>
      </c>
    </row>
    <row r="210" spans="1:11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6" t="s">
        <v>20</v>
      </c>
    </row>
    <row r="211" spans="1:11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6" t="s">
        <v>29</v>
      </c>
    </row>
    <row r="212" spans="1:11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6" t="s">
        <v>15</v>
      </c>
    </row>
    <row r="213" spans="1:11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6" t="s">
        <v>29</v>
      </c>
    </row>
    <row r="214" spans="1:11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6" t="s">
        <v>15</v>
      </c>
    </row>
    <row r="215" spans="1:11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6" t="s">
        <v>51</v>
      </c>
    </row>
    <row r="216" spans="1:11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6" t="s">
        <v>29</v>
      </c>
    </row>
    <row r="217" spans="1:11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6" t="s">
        <v>29</v>
      </c>
    </row>
    <row r="218" spans="1:11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6" t="s">
        <v>29</v>
      </c>
    </row>
    <row r="219" spans="1:11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6" t="s">
        <v>51</v>
      </c>
    </row>
    <row r="220" spans="1:11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6" t="s">
        <v>29</v>
      </c>
    </row>
    <row r="221" spans="1:11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6" t="s">
        <v>24</v>
      </c>
    </row>
    <row r="222" spans="1:11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6" t="s">
        <v>51</v>
      </c>
    </row>
    <row r="223" spans="1:11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6" t="s">
        <v>15</v>
      </c>
    </row>
    <row r="224" spans="1:11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6" t="s">
        <v>15</v>
      </c>
    </row>
    <row r="225" spans="1:11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6" t="s">
        <v>24</v>
      </c>
    </row>
    <row r="226" spans="1:11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6" t="s">
        <v>20</v>
      </c>
    </row>
    <row r="227" spans="1:11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6" t="s">
        <v>29</v>
      </c>
    </row>
    <row r="228" spans="1:11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6" t="s">
        <v>15</v>
      </c>
    </row>
    <row r="229" spans="1:11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6" t="s">
        <v>24</v>
      </c>
    </row>
    <row r="230" spans="1:11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6" t="s">
        <v>20</v>
      </c>
    </row>
    <row r="231" spans="1:11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6" t="s">
        <v>24</v>
      </c>
    </row>
    <row r="232" spans="1:11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6" t="s">
        <v>20</v>
      </c>
    </row>
    <row r="233" spans="1:11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6" t="s">
        <v>15</v>
      </c>
    </row>
    <row r="234" spans="1:11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6" t="s">
        <v>24</v>
      </c>
    </row>
    <row r="235" spans="1:11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6" t="s">
        <v>51</v>
      </c>
    </row>
    <row r="236" spans="1:11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6" t="s">
        <v>29</v>
      </c>
    </row>
    <row r="237" spans="1:11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6" t="s">
        <v>29</v>
      </c>
    </row>
    <row r="238" spans="1:11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6" t="s">
        <v>15</v>
      </c>
    </row>
    <row r="239" spans="1:11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6" t="s">
        <v>51</v>
      </c>
    </row>
    <row r="240" spans="1:11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6" t="s">
        <v>15</v>
      </c>
    </row>
    <row r="241" spans="1:11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6" t="s">
        <v>29</v>
      </c>
    </row>
    <row r="242" spans="1:11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6" t="s">
        <v>15</v>
      </c>
    </row>
    <row r="243" spans="1:11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6" t="s">
        <v>51</v>
      </c>
    </row>
    <row r="244" spans="1:11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6" t="s">
        <v>24</v>
      </c>
    </row>
    <row r="245" spans="1:11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6" t="s">
        <v>15</v>
      </c>
    </row>
    <row r="246" spans="1:11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6" t="s">
        <v>29</v>
      </c>
    </row>
    <row r="247" spans="1:11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6" t="s">
        <v>51</v>
      </c>
    </row>
    <row r="248" spans="1:11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6" t="s">
        <v>20</v>
      </c>
    </row>
    <row r="249" spans="1:11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6" t="s">
        <v>29</v>
      </c>
    </row>
    <row r="250" spans="1:11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6" t="s">
        <v>20</v>
      </c>
    </row>
    <row r="251" spans="1:11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6" t="s">
        <v>29</v>
      </c>
    </row>
    <row r="252" spans="1:11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6" t="s">
        <v>51</v>
      </c>
    </row>
    <row r="253" spans="1:11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6" t="s">
        <v>20</v>
      </c>
    </row>
    <row r="254" spans="1:11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6" t="s">
        <v>29</v>
      </c>
    </row>
    <row r="255" spans="1:11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6" t="s">
        <v>24</v>
      </c>
    </row>
    <row r="256" spans="1:11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</row>
    <row r="257" spans="1:11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6" t="s">
        <v>15</v>
      </c>
    </row>
    <row r="258" spans="1:11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6" t="s">
        <v>15</v>
      </c>
    </row>
    <row r="259" spans="1:11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6" t="s">
        <v>29</v>
      </c>
    </row>
    <row r="260" spans="1:11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6" t="s">
        <v>15</v>
      </c>
    </row>
    <row r="261" spans="1:11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6" t="s">
        <v>29</v>
      </c>
    </row>
    <row r="262" spans="1:11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6" t="s">
        <v>51</v>
      </c>
    </row>
    <row r="263" spans="1:11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6" t="s">
        <v>15</v>
      </c>
    </row>
    <row r="264" spans="1:11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6" t="s">
        <v>51</v>
      </c>
    </row>
    <row r="265" spans="1:11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6" t="s">
        <v>20</v>
      </c>
    </row>
    <row r="266" spans="1:11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6" t="s">
        <v>51</v>
      </c>
    </row>
    <row r="267" spans="1:11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6" t="s">
        <v>51</v>
      </c>
    </row>
    <row r="268" spans="1:11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6" t="s">
        <v>20</v>
      </c>
    </row>
    <row r="269" spans="1:11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6" t="s">
        <v>20</v>
      </c>
    </row>
    <row r="270" spans="1:11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6" t="s">
        <v>15</v>
      </c>
    </row>
    <row r="271" spans="1:11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6" t="s">
        <v>51</v>
      </c>
    </row>
    <row r="272" spans="1:11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6" t="s">
        <v>29</v>
      </c>
    </row>
    <row r="273" spans="1:11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6" t="s">
        <v>20</v>
      </c>
    </row>
    <row r="274" spans="1:11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6" t="s">
        <v>20</v>
      </c>
    </row>
    <row r="275" spans="1:11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6" t="s">
        <v>20</v>
      </c>
    </row>
    <row r="276" spans="1:11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6" t="s">
        <v>20</v>
      </c>
    </row>
    <row r="277" spans="1:11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6" t="s">
        <v>24</v>
      </c>
    </row>
    <row r="278" spans="1:11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6" t="s">
        <v>15</v>
      </c>
    </row>
    <row r="279" spans="1:11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6" t="s">
        <v>20</v>
      </c>
    </row>
    <row r="280" spans="1:11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6" t="s">
        <v>15</v>
      </c>
    </row>
    <row r="281" spans="1:11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6" t="s">
        <v>51</v>
      </c>
    </row>
    <row r="282" spans="1:11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6" t="s">
        <v>24</v>
      </c>
    </row>
    <row r="283" spans="1:11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6" t="s">
        <v>29</v>
      </c>
    </row>
    <row r="284" spans="1:11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6" t="s">
        <v>15</v>
      </c>
    </row>
    <row r="285" spans="1:11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6" t="s">
        <v>15</v>
      </c>
    </row>
    <row r="286" spans="1:11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6" t="s">
        <v>20</v>
      </c>
    </row>
    <row r="287" spans="1:11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6" t="s">
        <v>15</v>
      </c>
    </row>
    <row r="288" spans="1:11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6" t="s">
        <v>51</v>
      </c>
    </row>
    <row r="289" spans="1:11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6" t="s">
        <v>29</v>
      </c>
    </row>
    <row r="290" spans="1:11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6" t="s">
        <v>24</v>
      </c>
    </row>
    <row r="291" spans="1:11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6" t="s">
        <v>29</v>
      </c>
    </row>
    <row r="292" spans="1:11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6" t="s">
        <v>20</v>
      </c>
    </row>
    <row r="293" spans="1:11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6" t="s">
        <v>20</v>
      </c>
    </row>
    <row r="294" spans="1:11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6" t="s">
        <v>20</v>
      </c>
    </row>
    <row r="295" spans="1:11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6" t="s">
        <v>15</v>
      </c>
    </row>
    <row r="296" spans="1:11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6" t="s">
        <v>15</v>
      </c>
    </row>
    <row r="297" spans="1:11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6" t="s">
        <v>51</v>
      </c>
    </row>
    <row r="298" spans="1:11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6" t="s">
        <v>29</v>
      </c>
    </row>
    <row r="299" spans="1:11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6" t="s">
        <v>24</v>
      </c>
    </row>
    <row r="300" spans="1:11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6" t="s">
        <v>15</v>
      </c>
    </row>
    <row r="301" spans="1:11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6" t="s">
        <v>24</v>
      </c>
    </row>
    <row r="302" spans="1:11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6" t="s">
        <v>24</v>
      </c>
    </row>
    <row r="303" spans="1:11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6" t="s">
        <v>24</v>
      </c>
    </row>
    <row r="304" spans="1:11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6" t="s">
        <v>15</v>
      </c>
    </row>
    <row r="305" spans="1:11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6" t="s">
        <v>51</v>
      </c>
    </row>
    <row r="306" spans="1:11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6" t="s">
        <v>51</v>
      </c>
    </row>
    <row r="307" spans="1:11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6" t="s">
        <v>20</v>
      </c>
    </row>
    <row r="308" spans="1:11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6" t="s">
        <v>51</v>
      </c>
    </row>
    <row r="309" spans="1:11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6" t="s">
        <v>20</v>
      </c>
    </row>
    <row r="310" spans="1:11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6" t="s">
        <v>24</v>
      </c>
    </row>
    <row r="311" spans="1:11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6" t="s">
        <v>29</v>
      </c>
    </row>
    <row r="312" spans="1:11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6" t="s">
        <v>20</v>
      </c>
    </row>
    <row r="313" spans="1:11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6" t="s">
        <v>24</v>
      </c>
    </row>
    <row r="314" spans="1:11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6" t="s">
        <v>15</v>
      </c>
    </row>
    <row r="315" spans="1:11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6" t="s">
        <v>29</v>
      </c>
    </row>
    <row r="316" spans="1:11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6" t="s">
        <v>15</v>
      </c>
    </row>
    <row r="317" spans="1:11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6" t="s">
        <v>20</v>
      </c>
    </row>
    <row r="318" spans="1:11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6" t="s">
        <v>51</v>
      </c>
    </row>
    <row r="319" spans="1:11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6" t="s">
        <v>29</v>
      </c>
    </row>
    <row r="320" spans="1:11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6" t="s">
        <v>15</v>
      </c>
    </row>
    <row r="321" spans="1:11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6" t="s">
        <v>20</v>
      </c>
    </row>
    <row r="322" spans="1:11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6" t="s">
        <v>51</v>
      </c>
    </row>
    <row r="323" spans="1:11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6" t="s">
        <v>15</v>
      </c>
    </row>
    <row r="324" spans="1:11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6" t="s">
        <v>15</v>
      </c>
    </row>
    <row r="325" spans="1:11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6" t="s">
        <v>20</v>
      </c>
    </row>
    <row r="326" spans="1:11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6" t="s">
        <v>20</v>
      </c>
    </row>
    <row r="327" spans="1:11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6" t="s">
        <v>15</v>
      </c>
    </row>
    <row r="328" spans="1:11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6" t="s">
        <v>15</v>
      </c>
    </row>
    <row r="329" spans="1:11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6" t="s">
        <v>29</v>
      </c>
    </row>
    <row r="330" spans="1:11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6" t="s">
        <v>29</v>
      </c>
    </row>
    <row r="331" spans="1:11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6" t="s">
        <v>51</v>
      </c>
    </row>
    <row r="332" spans="1:11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6" t="s">
        <v>15</v>
      </c>
    </row>
    <row r="333" spans="1:11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6" t="s">
        <v>15</v>
      </c>
    </row>
    <row r="334" spans="1:11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6" t="s">
        <v>51</v>
      </c>
    </row>
    <row r="335" spans="1:11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6" t="s">
        <v>51</v>
      </c>
    </row>
    <row r="336" spans="1:11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6" t="s">
        <v>15</v>
      </c>
    </row>
    <row r="337" spans="1:11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6" t="s">
        <v>29</v>
      </c>
    </row>
    <row r="338" spans="1:11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6" t="s">
        <v>29</v>
      </c>
    </row>
    <row r="339" spans="1:11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6" t="s">
        <v>15</v>
      </c>
    </row>
    <row r="340" spans="1:11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6" t="s">
        <v>20</v>
      </c>
    </row>
    <row r="341" spans="1:11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6" t="s">
        <v>51</v>
      </c>
    </row>
    <row r="342" spans="1:11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6" t="s">
        <v>20</v>
      </c>
    </row>
    <row r="343" spans="1:11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6" t="s">
        <v>29</v>
      </c>
    </row>
    <row r="344" spans="1:11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6" t="s">
        <v>15</v>
      </c>
    </row>
    <row r="345" spans="1:11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</row>
    <row r="346" spans="1:11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6" t="s">
        <v>29</v>
      </c>
    </row>
    <row r="347" spans="1:11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6" t="s">
        <v>29</v>
      </c>
    </row>
    <row r="348" spans="1:11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6" t="s">
        <v>24</v>
      </c>
    </row>
    <row r="349" spans="1:11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6" t="s">
        <v>15</v>
      </c>
    </row>
    <row r="350" spans="1:11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6" t="s">
        <v>20</v>
      </c>
    </row>
    <row r="351" spans="1:11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6" t="s">
        <v>29</v>
      </c>
    </row>
    <row r="352" spans="1:11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6" t="s">
        <v>15</v>
      </c>
    </row>
    <row r="353" spans="1:11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6" t="s">
        <v>15</v>
      </c>
    </row>
    <row r="354" spans="1:11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6" t="s">
        <v>24</v>
      </c>
    </row>
    <row r="355" spans="1:11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6" t="s">
        <v>51</v>
      </c>
    </row>
    <row r="356" spans="1:11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6" t="s">
        <v>51</v>
      </c>
    </row>
    <row r="357" spans="1:11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6" t="s">
        <v>15</v>
      </c>
    </row>
    <row r="358" spans="1:11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6" t="s">
        <v>51</v>
      </c>
    </row>
    <row r="359" spans="1:11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6" t="s">
        <v>20</v>
      </c>
    </row>
    <row r="360" spans="1:11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6" t="s">
        <v>15</v>
      </c>
    </row>
    <row r="361" spans="1:11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6" t="s">
        <v>15</v>
      </c>
    </row>
    <row r="362" spans="1:11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6" t="s">
        <v>20</v>
      </c>
    </row>
    <row r="363" spans="1:11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6" t="s">
        <v>29</v>
      </c>
    </row>
    <row r="364" spans="1:11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6" t="s">
        <v>15</v>
      </c>
    </row>
    <row r="365" spans="1:11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6" t="s">
        <v>51</v>
      </c>
    </row>
    <row r="366" spans="1:11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6" t="s">
        <v>20</v>
      </c>
    </row>
    <row r="367" spans="1:11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6" t="s">
        <v>29</v>
      </c>
    </row>
    <row r="368" spans="1:11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6" t="s">
        <v>29</v>
      </c>
    </row>
    <row r="369" spans="1:11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6" t="s">
        <v>24</v>
      </c>
    </row>
    <row r="370" spans="1:11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6" t="s">
        <v>15</v>
      </c>
    </row>
    <row r="371" spans="1:11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6" t="s">
        <v>15</v>
      </c>
    </row>
    <row r="372" spans="1:11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6" t="s">
        <v>20</v>
      </c>
    </row>
    <row r="373" spans="1:11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6" t="s">
        <v>15</v>
      </c>
    </row>
    <row r="374" spans="1:11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6" t="s">
        <v>20</v>
      </c>
    </row>
    <row r="375" spans="1:11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6" t="s">
        <v>51</v>
      </c>
    </row>
    <row r="376" spans="1:11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6" t="s">
        <v>24</v>
      </c>
    </row>
    <row r="377" spans="1:11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6" t="s">
        <v>20</v>
      </c>
    </row>
    <row r="378" spans="1:11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6" t="s">
        <v>24</v>
      </c>
    </row>
    <row r="379" spans="1:11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6" t="s">
        <v>51</v>
      </c>
    </row>
    <row r="380" spans="1:11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6" t="s">
        <v>20</v>
      </c>
    </row>
    <row r="381" spans="1:11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6" t="s">
        <v>24</v>
      </c>
    </row>
    <row r="382" spans="1:11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6" t="s">
        <v>20</v>
      </c>
    </row>
    <row r="383" spans="1:11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6" t="s">
        <v>15</v>
      </c>
    </row>
    <row r="384" spans="1:11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6" t="s">
        <v>15</v>
      </c>
    </row>
    <row r="385" spans="1:11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6" t="s">
        <v>29</v>
      </c>
    </row>
    <row r="386" spans="1:11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6" t="s">
        <v>51</v>
      </c>
    </row>
    <row r="387" spans="1:11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6" t="s">
        <v>51</v>
      </c>
    </row>
    <row r="388" spans="1:11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6" t="s">
        <v>24</v>
      </c>
    </row>
    <row r="389" spans="1:11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6" t="s">
        <v>20</v>
      </c>
    </row>
    <row r="390" spans="1:11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6" t="s">
        <v>51</v>
      </c>
    </row>
    <row r="391" spans="1:11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6" t="s">
        <v>51</v>
      </c>
    </row>
    <row r="392" spans="1:11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6" t="s">
        <v>24</v>
      </c>
    </row>
    <row r="393" spans="1:11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6" t="s">
        <v>29</v>
      </c>
    </row>
    <row r="394" spans="1:11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6" t="s">
        <v>51</v>
      </c>
    </row>
    <row r="395" spans="1:11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6" t="s">
        <v>15</v>
      </c>
    </row>
    <row r="396" spans="1:11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6" t="s">
        <v>29</v>
      </c>
    </row>
    <row r="397" spans="1:11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6" t="s">
        <v>15</v>
      </c>
    </row>
    <row r="398" spans="1:11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6" t="s">
        <v>51</v>
      </c>
    </row>
    <row r="399" spans="1:11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6" t="s">
        <v>15</v>
      </c>
    </row>
    <row r="400" spans="1:11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6" t="s">
        <v>20</v>
      </c>
    </row>
    <row r="401" spans="1:11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AE3C-FBBD-4DAB-9AA7-9E06974B428B}">
  <dimension ref="A1:K401"/>
  <sheetViews>
    <sheetView zoomScale="85" zoomScaleNormal="85" workbookViewId="0">
      <selection activeCell="K2" sqref="K2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</cols>
  <sheetData>
    <row r="1" spans="1:11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ht="15.6" x14ac:dyDescent="0.3">
      <c r="A2" s="3">
        <v>1290</v>
      </c>
      <c r="B2" s="4" t="s">
        <v>26</v>
      </c>
      <c r="C2" s="4" t="s">
        <v>22</v>
      </c>
      <c r="D2" s="4" t="s">
        <v>34</v>
      </c>
      <c r="E2" s="4" t="s">
        <v>35</v>
      </c>
      <c r="F2" s="4">
        <v>3</v>
      </c>
      <c r="G2" s="4">
        <v>69793</v>
      </c>
      <c r="H2" s="4">
        <v>15</v>
      </c>
      <c r="I2" s="5">
        <v>46110</v>
      </c>
      <c r="J2" s="5">
        <v>46111</v>
      </c>
      <c r="K2" s="6" t="s">
        <v>29</v>
      </c>
    </row>
    <row r="3" spans="1:11" ht="15.6" x14ac:dyDescent="0.3">
      <c r="A3" s="3">
        <v>1200</v>
      </c>
      <c r="B3" s="4" t="s">
        <v>29</v>
      </c>
      <c r="C3" s="4" t="s">
        <v>31</v>
      </c>
      <c r="D3" s="4" t="s">
        <v>34</v>
      </c>
      <c r="E3" s="4" t="s">
        <v>45</v>
      </c>
      <c r="F3" s="4">
        <v>13</v>
      </c>
      <c r="G3" s="4">
        <v>69422</v>
      </c>
      <c r="H3" s="4">
        <v>0</v>
      </c>
      <c r="I3" s="5">
        <v>46134</v>
      </c>
      <c r="J3" s="5">
        <v>46143</v>
      </c>
      <c r="K3" s="6" t="s">
        <v>29</v>
      </c>
    </row>
    <row r="4" spans="1:11" ht="15.6" x14ac:dyDescent="0.3">
      <c r="A4" s="3">
        <v>1245</v>
      </c>
      <c r="B4" s="4" t="s">
        <v>55</v>
      </c>
      <c r="C4" s="4" t="s">
        <v>43</v>
      </c>
      <c r="D4" s="4" t="s">
        <v>34</v>
      </c>
      <c r="E4" s="4" t="s">
        <v>41</v>
      </c>
      <c r="F4" s="4">
        <v>19</v>
      </c>
      <c r="G4" s="4">
        <v>69029</v>
      </c>
      <c r="H4" s="4">
        <v>7</v>
      </c>
      <c r="I4" s="5">
        <v>46176</v>
      </c>
      <c r="J4" s="5">
        <v>46179</v>
      </c>
      <c r="K4" s="6" t="s">
        <v>29</v>
      </c>
    </row>
    <row r="5" spans="1:11" ht="15.6" x14ac:dyDescent="0.3">
      <c r="A5" s="3">
        <v>1135</v>
      </c>
      <c r="B5" s="4" t="s">
        <v>49</v>
      </c>
      <c r="C5" s="4" t="s">
        <v>43</v>
      </c>
      <c r="D5" s="4" t="s">
        <v>34</v>
      </c>
      <c r="E5" s="4" t="s">
        <v>39</v>
      </c>
      <c r="F5" s="4">
        <v>14</v>
      </c>
      <c r="G5" s="4">
        <v>68534</v>
      </c>
      <c r="H5" s="4">
        <v>0</v>
      </c>
      <c r="I5" s="5">
        <v>46041</v>
      </c>
      <c r="J5" s="5">
        <v>46042</v>
      </c>
      <c r="K5" s="6" t="s">
        <v>15</v>
      </c>
    </row>
    <row r="6" spans="1:11" ht="15.6" x14ac:dyDescent="0.3">
      <c r="A6" s="3">
        <v>1187</v>
      </c>
      <c r="B6" s="4" t="s">
        <v>54</v>
      </c>
      <c r="C6" s="4" t="s">
        <v>22</v>
      </c>
      <c r="D6" s="4" t="s">
        <v>34</v>
      </c>
      <c r="E6" s="4" t="s">
        <v>45</v>
      </c>
      <c r="F6" s="4">
        <v>18</v>
      </c>
      <c r="G6" s="4">
        <v>68527</v>
      </c>
      <c r="H6" s="4">
        <v>12</v>
      </c>
      <c r="I6" s="5">
        <v>46178</v>
      </c>
      <c r="J6" s="5">
        <v>46184</v>
      </c>
      <c r="K6" s="6" t="s">
        <v>51</v>
      </c>
    </row>
    <row r="7" spans="1:11" ht="15.6" x14ac:dyDescent="0.3">
      <c r="A7" s="3">
        <v>1146</v>
      </c>
      <c r="B7" s="4" t="s">
        <v>16</v>
      </c>
      <c r="C7" s="4" t="s">
        <v>43</v>
      </c>
      <c r="D7" s="4" t="s">
        <v>34</v>
      </c>
      <c r="E7" s="4" t="s">
        <v>45</v>
      </c>
      <c r="F7" s="4">
        <v>7</v>
      </c>
      <c r="G7" s="4">
        <v>68217</v>
      </c>
      <c r="H7" s="4">
        <v>0</v>
      </c>
      <c r="I7" s="5">
        <v>46190</v>
      </c>
      <c r="J7" s="5">
        <v>46197</v>
      </c>
      <c r="K7" s="6" t="s">
        <v>29</v>
      </c>
    </row>
    <row r="8" spans="1:11" ht="15.6" x14ac:dyDescent="0.3">
      <c r="A8" s="3">
        <v>1140</v>
      </c>
      <c r="B8" s="4" t="s">
        <v>57</v>
      </c>
      <c r="C8" s="4" t="s">
        <v>38</v>
      </c>
      <c r="D8" s="4" t="s">
        <v>34</v>
      </c>
      <c r="E8" s="4" t="s">
        <v>41</v>
      </c>
      <c r="F8" s="4">
        <v>5</v>
      </c>
      <c r="G8" s="4">
        <v>68012</v>
      </c>
      <c r="H8" s="4">
        <v>5</v>
      </c>
      <c r="I8" s="5">
        <v>46061</v>
      </c>
      <c r="J8" s="5">
        <v>46065</v>
      </c>
      <c r="K8" s="6" t="s">
        <v>15</v>
      </c>
    </row>
    <row r="9" spans="1:11" ht="15.6" x14ac:dyDescent="0.3">
      <c r="A9" s="3">
        <v>1317</v>
      </c>
      <c r="B9" s="4" t="s">
        <v>59</v>
      </c>
      <c r="C9" s="4" t="s">
        <v>33</v>
      </c>
      <c r="D9" s="4" t="s">
        <v>34</v>
      </c>
      <c r="E9" s="4" t="s">
        <v>41</v>
      </c>
      <c r="F9" s="4">
        <v>7</v>
      </c>
      <c r="G9" s="4">
        <v>67339</v>
      </c>
      <c r="H9" s="4">
        <v>5</v>
      </c>
      <c r="I9" s="5">
        <v>46159</v>
      </c>
      <c r="J9" s="5">
        <v>46169</v>
      </c>
      <c r="K9" s="6" t="s">
        <v>51</v>
      </c>
    </row>
    <row r="10" spans="1:11" ht="15.6" x14ac:dyDescent="0.3">
      <c r="A10" s="3">
        <v>1063</v>
      </c>
      <c r="B10" s="4" t="s">
        <v>54</v>
      </c>
      <c r="C10" s="4" t="s">
        <v>22</v>
      </c>
      <c r="D10" s="4" t="s">
        <v>34</v>
      </c>
      <c r="E10" s="4" t="s">
        <v>45</v>
      </c>
      <c r="F10" s="4">
        <v>7</v>
      </c>
      <c r="G10" s="4">
        <v>66744</v>
      </c>
      <c r="H10" s="4">
        <v>7</v>
      </c>
      <c r="I10" s="5">
        <v>46148</v>
      </c>
      <c r="J10" s="5">
        <v>46155</v>
      </c>
      <c r="K10" s="6" t="s">
        <v>15</v>
      </c>
    </row>
    <row r="11" spans="1:11" ht="15.6" x14ac:dyDescent="0.3">
      <c r="A11" s="3">
        <v>1090</v>
      </c>
      <c r="B11" s="4" t="s">
        <v>49</v>
      </c>
      <c r="C11" s="4" t="s">
        <v>31</v>
      </c>
      <c r="D11" s="4" t="s">
        <v>34</v>
      </c>
      <c r="E11" s="4" t="s">
        <v>45</v>
      </c>
      <c r="F11" s="4">
        <v>19</v>
      </c>
      <c r="G11" s="4">
        <v>66139</v>
      </c>
      <c r="H11" s="4">
        <v>5</v>
      </c>
      <c r="I11" s="5">
        <v>46088</v>
      </c>
      <c r="J11" s="5">
        <v>46095</v>
      </c>
      <c r="K11" s="6" t="s">
        <v>24</v>
      </c>
    </row>
    <row r="12" spans="1:11" ht="15.6" x14ac:dyDescent="0.3">
      <c r="A12" s="3">
        <v>1308</v>
      </c>
      <c r="B12" s="4" t="s">
        <v>30</v>
      </c>
      <c r="C12" s="4" t="s">
        <v>22</v>
      </c>
      <c r="D12" s="4" t="s">
        <v>34</v>
      </c>
      <c r="E12" s="4" t="s">
        <v>41</v>
      </c>
      <c r="F12" s="4">
        <v>12</v>
      </c>
      <c r="G12" s="4">
        <v>66075</v>
      </c>
      <c r="H12" s="4">
        <v>5</v>
      </c>
      <c r="I12" s="5">
        <v>46129</v>
      </c>
      <c r="J12" s="5">
        <v>46135</v>
      </c>
      <c r="K12" s="6" t="s">
        <v>20</v>
      </c>
    </row>
    <row r="13" spans="1:11" ht="15.6" x14ac:dyDescent="0.3">
      <c r="A13" s="3">
        <v>1374</v>
      </c>
      <c r="B13" s="4" t="s">
        <v>57</v>
      </c>
      <c r="C13" s="4" t="s">
        <v>33</v>
      </c>
      <c r="D13" s="4" t="s">
        <v>34</v>
      </c>
      <c r="E13" s="4" t="s">
        <v>35</v>
      </c>
      <c r="F13" s="4">
        <v>12</v>
      </c>
      <c r="G13" s="4">
        <v>66052</v>
      </c>
      <c r="H13" s="4">
        <v>2</v>
      </c>
      <c r="I13" s="5">
        <v>46063</v>
      </c>
      <c r="J13" s="5">
        <v>46066</v>
      </c>
      <c r="K13" s="6" t="s">
        <v>51</v>
      </c>
    </row>
    <row r="14" spans="1:11" ht="15.6" x14ac:dyDescent="0.3">
      <c r="A14" s="3">
        <v>1182</v>
      </c>
      <c r="B14" s="4" t="s">
        <v>42</v>
      </c>
      <c r="C14" s="4" t="s">
        <v>12</v>
      </c>
      <c r="D14" s="4" t="s">
        <v>34</v>
      </c>
      <c r="E14" s="4" t="s">
        <v>39</v>
      </c>
      <c r="F14" s="4">
        <v>8</v>
      </c>
      <c r="G14" s="4">
        <v>66022</v>
      </c>
      <c r="H14" s="4">
        <v>12</v>
      </c>
      <c r="I14" s="5">
        <v>46108</v>
      </c>
      <c r="J14" s="5">
        <v>46114</v>
      </c>
      <c r="K14" s="6" t="s">
        <v>24</v>
      </c>
    </row>
    <row r="15" spans="1:11" ht="15.6" x14ac:dyDescent="0.3">
      <c r="A15" s="3">
        <v>1250</v>
      </c>
      <c r="B15" s="4" t="s">
        <v>11</v>
      </c>
      <c r="C15" s="4" t="s">
        <v>17</v>
      </c>
      <c r="D15" s="4" t="s">
        <v>34</v>
      </c>
      <c r="E15" s="4" t="s">
        <v>45</v>
      </c>
      <c r="F15" s="4">
        <v>2</v>
      </c>
      <c r="G15" s="4">
        <v>65953</v>
      </c>
      <c r="H15" s="4">
        <v>7</v>
      </c>
      <c r="I15" s="5">
        <v>46051</v>
      </c>
      <c r="J15" s="5">
        <v>46053</v>
      </c>
      <c r="K15" s="6" t="s">
        <v>29</v>
      </c>
    </row>
    <row r="16" spans="1:11" ht="15.6" x14ac:dyDescent="0.3">
      <c r="A16" s="3">
        <v>1391</v>
      </c>
      <c r="B16" s="4" t="s">
        <v>30</v>
      </c>
      <c r="C16" s="4" t="s">
        <v>31</v>
      </c>
      <c r="D16" s="4" t="s">
        <v>34</v>
      </c>
      <c r="E16" s="4" t="s">
        <v>35</v>
      </c>
      <c r="F16" s="4">
        <v>5</v>
      </c>
      <c r="G16" s="4">
        <v>65270</v>
      </c>
      <c r="H16" s="4">
        <v>5</v>
      </c>
      <c r="I16" s="5">
        <v>46100</v>
      </c>
      <c r="J16" s="5">
        <v>46103</v>
      </c>
      <c r="K16" s="6" t="s">
        <v>24</v>
      </c>
    </row>
    <row r="17" spans="1:11" ht="15.6" x14ac:dyDescent="0.3">
      <c r="A17" s="3">
        <v>1075</v>
      </c>
      <c r="B17" s="4" t="s">
        <v>42</v>
      </c>
      <c r="C17" s="4" t="s">
        <v>43</v>
      </c>
      <c r="D17" s="4" t="s">
        <v>34</v>
      </c>
      <c r="E17" s="4" t="s">
        <v>61</v>
      </c>
      <c r="F17" s="4">
        <v>4</v>
      </c>
      <c r="G17" s="4">
        <v>64773</v>
      </c>
      <c r="H17" s="4">
        <v>10</v>
      </c>
      <c r="I17" s="5">
        <v>46185</v>
      </c>
      <c r="J17" s="5">
        <v>46186</v>
      </c>
      <c r="K17" s="6" t="s">
        <v>51</v>
      </c>
    </row>
    <row r="18" spans="1:11" ht="15.6" x14ac:dyDescent="0.3">
      <c r="A18" s="3">
        <v>1012</v>
      </c>
      <c r="B18" s="4" t="s">
        <v>26</v>
      </c>
      <c r="C18" s="4" t="s">
        <v>38</v>
      </c>
      <c r="D18" s="4" t="s">
        <v>34</v>
      </c>
      <c r="E18" s="4" t="s">
        <v>39</v>
      </c>
      <c r="F18" s="4">
        <v>3</v>
      </c>
      <c r="G18" s="4">
        <v>64615</v>
      </c>
      <c r="H18" s="4">
        <v>10</v>
      </c>
      <c r="I18" s="5">
        <v>46086</v>
      </c>
      <c r="J18" s="5">
        <v>46095</v>
      </c>
      <c r="K18" s="6" t="s">
        <v>29</v>
      </c>
    </row>
    <row r="19" spans="1:11" ht="15.6" x14ac:dyDescent="0.3">
      <c r="A19" s="3">
        <v>1102</v>
      </c>
      <c r="B19" s="4" t="s">
        <v>54</v>
      </c>
      <c r="C19" s="4" t="s">
        <v>25</v>
      </c>
      <c r="D19" s="4" t="s">
        <v>34</v>
      </c>
      <c r="E19" s="4" t="s">
        <v>45</v>
      </c>
      <c r="F19" s="4">
        <v>12</v>
      </c>
      <c r="G19" s="4">
        <v>63402</v>
      </c>
      <c r="H19" s="4">
        <v>7</v>
      </c>
      <c r="I19" s="5">
        <v>46106</v>
      </c>
      <c r="J19" s="5">
        <v>46113</v>
      </c>
      <c r="K19" s="6" t="s">
        <v>51</v>
      </c>
    </row>
    <row r="20" spans="1:11" ht="15.6" x14ac:dyDescent="0.3">
      <c r="A20" s="3">
        <v>1270</v>
      </c>
      <c r="B20" s="4" t="s">
        <v>49</v>
      </c>
      <c r="C20" s="4" t="s">
        <v>43</v>
      </c>
      <c r="D20" s="4" t="s">
        <v>34</v>
      </c>
      <c r="E20" s="4" t="s">
        <v>35</v>
      </c>
      <c r="F20" s="4">
        <v>16</v>
      </c>
      <c r="G20" s="4">
        <v>62941</v>
      </c>
      <c r="H20" s="4">
        <v>7</v>
      </c>
      <c r="I20" s="5">
        <v>46135</v>
      </c>
      <c r="J20" s="5">
        <v>46141</v>
      </c>
      <c r="K20" s="6" t="s">
        <v>51</v>
      </c>
    </row>
    <row r="21" spans="1:11" ht="15.6" x14ac:dyDescent="0.3">
      <c r="A21" s="3">
        <v>1045</v>
      </c>
      <c r="B21" s="4" t="s">
        <v>32</v>
      </c>
      <c r="C21" s="4" t="s">
        <v>38</v>
      </c>
      <c r="D21" s="4" t="s">
        <v>34</v>
      </c>
      <c r="E21" s="4" t="s">
        <v>35</v>
      </c>
      <c r="F21" s="4">
        <v>3</v>
      </c>
      <c r="G21" s="4">
        <v>62762</v>
      </c>
      <c r="H21" s="4">
        <v>7</v>
      </c>
      <c r="I21" s="5">
        <v>46038</v>
      </c>
      <c r="J21" s="5">
        <v>46039</v>
      </c>
      <c r="K21" s="6" t="s">
        <v>29</v>
      </c>
    </row>
    <row r="22" spans="1:11" ht="15.6" x14ac:dyDescent="0.3">
      <c r="A22" s="3">
        <v>1349</v>
      </c>
      <c r="B22" s="4" t="s">
        <v>40</v>
      </c>
      <c r="C22" s="4" t="s">
        <v>33</v>
      </c>
      <c r="D22" s="4" t="s">
        <v>34</v>
      </c>
      <c r="E22" s="4" t="s">
        <v>35</v>
      </c>
      <c r="F22" s="4">
        <v>20</v>
      </c>
      <c r="G22" s="4">
        <v>62721</v>
      </c>
      <c r="H22" s="4">
        <v>7</v>
      </c>
      <c r="I22" s="5">
        <v>46079</v>
      </c>
      <c r="J22" s="5">
        <v>46083</v>
      </c>
      <c r="K22" s="6" t="s">
        <v>20</v>
      </c>
    </row>
    <row r="23" spans="1:11" ht="15.6" x14ac:dyDescent="0.3">
      <c r="A23" s="3">
        <v>1163</v>
      </c>
      <c r="B23" s="4" t="s">
        <v>29</v>
      </c>
      <c r="C23" s="4" t="s">
        <v>38</v>
      </c>
      <c r="D23" s="4" t="s">
        <v>34</v>
      </c>
      <c r="E23" s="4" t="s">
        <v>39</v>
      </c>
      <c r="F23" s="4">
        <v>9</v>
      </c>
      <c r="G23" s="4">
        <v>62440</v>
      </c>
      <c r="H23" s="4">
        <v>2</v>
      </c>
      <c r="I23" s="5">
        <v>46081</v>
      </c>
      <c r="J23" s="5">
        <v>46086</v>
      </c>
      <c r="K23" s="6" t="s">
        <v>29</v>
      </c>
    </row>
    <row r="24" spans="1:11" ht="15.6" x14ac:dyDescent="0.3">
      <c r="A24" s="3">
        <v>1385</v>
      </c>
      <c r="B24" s="4" t="s">
        <v>26</v>
      </c>
      <c r="C24" s="4" t="s">
        <v>33</v>
      </c>
      <c r="D24" s="4" t="s">
        <v>34</v>
      </c>
      <c r="E24" s="4" t="s">
        <v>39</v>
      </c>
      <c r="F24" s="4">
        <v>12</v>
      </c>
      <c r="G24" s="4">
        <v>61360</v>
      </c>
      <c r="H24" s="4">
        <v>10</v>
      </c>
      <c r="I24" s="5">
        <v>46048</v>
      </c>
      <c r="J24" s="5">
        <v>46053</v>
      </c>
      <c r="K24" s="6" t="s">
        <v>51</v>
      </c>
    </row>
    <row r="25" spans="1:11" ht="15.6" x14ac:dyDescent="0.3">
      <c r="A25" s="3">
        <v>1039</v>
      </c>
      <c r="B25" s="4" t="s">
        <v>48</v>
      </c>
      <c r="C25" s="4" t="s">
        <v>38</v>
      </c>
      <c r="D25" s="4" t="s">
        <v>34</v>
      </c>
      <c r="E25" s="4" t="s">
        <v>45</v>
      </c>
      <c r="F25" s="4">
        <v>5</v>
      </c>
      <c r="G25" s="4">
        <v>60236</v>
      </c>
      <c r="H25" s="4">
        <v>10</v>
      </c>
      <c r="I25" s="5">
        <v>46107</v>
      </c>
      <c r="J25" s="5">
        <v>46110</v>
      </c>
      <c r="K25" s="6" t="s">
        <v>20</v>
      </c>
    </row>
    <row r="26" spans="1:11" ht="15.6" x14ac:dyDescent="0.3">
      <c r="A26" s="3">
        <v>1081</v>
      </c>
      <c r="B26" s="4" t="s">
        <v>47</v>
      </c>
      <c r="C26" s="4" t="s">
        <v>12</v>
      </c>
      <c r="D26" s="4" t="s">
        <v>34</v>
      </c>
      <c r="E26" s="4" t="s">
        <v>35</v>
      </c>
      <c r="F26" s="4">
        <v>15</v>
      </c>
      <c r="G26" s="4">
        <v>59912</v>
      </c>
      <c r="H26" s="4">
        <v>7</v>
      </c>
      <c r="I26" s="5">
        <v>46058</v>
      </c>
      <c r="J26" s="5">
        <v>46060</v>
      </c>
      <c r="K26" s="6" t="s">
        <v>51</v>
      </c>
    </row>
    <row r="27" spans="1:11" ht="15.6" x14ac:dyDescent="0.3">
      <c r="A27" s="3">
        <v>1142</v>
      </c>
      <c r="B27" s="4" t="s">
        <v>40</v>
      </c>
      <c r="C27" s="4" t="s">
        <v>25</v>
      </c>
      <c r="D27" s="4" t="s">
        <v>34</v>
      </c>
      <c r="E27" s="4" t="s">
        <v>60</v>
      </c>
      <c r="F27" s="4">
        <v>9</v>
      </c>
      <c r="G27" s="4">
        <v>59788</v>
      </c>
      <c r="H27" s="4">
        <v>7</v>
      </c>
      <c r="I27" s="5">
        <v>46064</v>
      </c>
      <c r="J27" s="5">
        <v>46071</v>
      </c>
      <c r="K27" s="6" t="s">
        <v>29</v>
      </c>
    </row>
    <row r="28" spans="1:11" ht="15.6" x14ac:dyDescent="0.3">
      <c r="A28" s="3">
        <v>1061</v>
      </c>
      <c r="B28" s="4" t="s">
        <v>57</v>
      </c>
      <c r="C28" s="4" t="s">
        <v>12</v>
      </c>
      <c r="D28" s="4" t="s">
        <v>34</v>
      </c>
      <c r="E28" s="4" t="s">
        <v>41</v>
      </c>
      <c r="F28" s="4">
        <v>16</v>
      </c>
      <c r="G28" s="4">
        <v>59084</v>
      </c>
      <c r="H28" s="4">
        <v>0</v>
      </c>
      <c r="I28" s="5">
        <v>46060</v>
      </c>
      <c r="J28" s="5">
        <v>46069</v>
      </c>
      <c r="K28" s="6" t="s">
        <v>20</v>
      </c>
    </row>
    <row r="29" spans="1:11" ht="15.6" x14ac:dyDescent="0.3">
      <c r="A29" s="3">
        <v>1072</v>
      </c>
      <c r="B29" s="4" t="s">
        <v>16</v>
      </c>
      <c r="C29" s="4" t="s">
        <v>25</v>
      </c>
      <c r="D29" s="4" t="s">
        <v>34</v>
      </c>
      <c r="E29" s="4" t="s">
        <v>61</v>
      </c>
      <c r="F29" s="4">
        <v>20</v>
      </c>
      <c r="G29" s="4">
        <v>58779</v>
      </c>
      <c r="H29" s="4">
        <v>0</v>
      </c>
      <c r="I29" s="5">
        <v>46035</v>
      </c>
      <c r="J29" s="5">
        <v>46036</v>
      </c>
      <c r="K29" s="6" t="s">
        <v>24</v>
      </c>
    </row>
    <row r="30" spans="1:11" ht="15.6" x14ac:dyDescent="0.3">
      <c r="A30" s="3">
        <v>1325</v>
      </c>
      <c r="B30" s="4" t="s">
        <v>48</v>
      </c>
      <c r="C30" s="4" t="s">
        <v>43</v>
      </c>
      <c r="D30" s="4" t="s">
        <v>34</v>
      </c>
      <c r="E30" s="4" t="s">
        <v>39</v>
      </c>
      <c r="F30" s="4">
        <v>9</v>
      </c>
      <c r="G30" s="4">
        <v>58442</v>
      </c>
      <c r="H30" s="4">
        <v>12</v>
      </c>
      <c r="I30" s="5">
        <v>46076</v>
      </c>
      <c r="J30" s="5">
        <v>46085</v>
      </c>
      <c r="K30" s="6" t="s">
        <v>20</v>
      </c>
    </row>
    <row r="31" spans="1:11" ht="15.6" x14ac:dyDescent="0.3">
      <c r="A31" s="3">
        <v>1319</v>
      </c>
      <c r="B31" s="4" t="s">
        <v>21</v>
      </c>
      <c r="C31" s="4" t="s">
        <v>17</v>
      </c>
      <c r="D31" s="4" t="s">
        <v>34</v>
      </c>
      <c r="E31" s="4" t="s">
        <v>61</v>
      </c>
      <c r="F31" s="4">
        <v>17</v>
      </c>
      <c r="G31" s="4">
        <v>58407</v>
      </c>
      <c r="H31" s="4">
        <v>7</v>
      </c>
      <c r="I31" s="5">
        <v>46094</v>
      </c>
      <c r="J31" s="5">
        <v>46102</v>
      </c>
      <c r="K31" s="6" t="s">
        <v>15</v>
      </c>
    </row>
    <row r="32" spans="1:11" ht="15.6" x14ac:dyDescent="0.3">
      <c r="A32" s="3">
        <v>1315</v>
      </c>
      <c r="B32" s="4" t="s">
        <v>49</v>
      </c>
      <c r="C32" s="4" t="s">
        <v>31</v>
      </c>
      <c r="D32" s="4" t="s">
        <v>34</v>
      </c>
      <c r="E32" s="4" t="s">
        <v>41</v>
      </c>
      <c r="F32" s="4">
        <v>14</v>
      </c>
      <c r="G32" s="4">
        <v>57670</v>
      </c>
      <c r="H32" s="4">
        <v>2</v>
      </c>
      <c r="I32" s="5">
        <v>46186</v>
      </c>
      <c r="J32" s="5">
        <v>46196</v>
      </c>
      <c r="K32" s="6" t="s">
        <v>15</v>
      </c>
    </row>
    <row r="33" spans="1:11" ht="15.6" x14ac:dyDescent="0.3">
      <c r="A33" s="3">
        <v>1375</v>
      </c>
      <c r="B33" s="4" t="s">
        <v>46</v>
      </c>
      <c r="C33" s="4" t="s">
        <v>43</v>
      </c>
      <c r="D33" s="4" t="s">
        <v>34</v>
      </c>
      <c r="E33" s="4" t="s">
        <v>45</v>
      </c>
      <c r="F33" s="4">
        <v>20</v>
      </c>
      <c r="G33" s="4">
        <v>56766</v>
      </c>
      <c r="H33" s="4">
        <v>0</v>
      </c>
      <c r="I33" s="5">
        <v>46052</v>
      </c>
      <c r="J33" s="5">
        <v>46061</v>
      </c>
      <c r="K33" s="6" t="s">
        <v>24</v>
      </c>
    </row>
    <row r="34" spans="1:11" ht="15.6" x14ac:dyDescent="0.3">
      <c r="A34" s="3">
        <v>1216</v>
      </c>
      <c r="B34" s="4" t="s">
        <v>40</v>
      </c>
      <c r="C34" s="4" t="s">
        <v>22</v>
      </c>
      <c r="D34" s="4" t="s">
        <v>34</v>
      </c>
      <c r="E34" s="4" t="s">
        <v>45</v>
      </c>
      <c r="F34" s="4">
        <v>10</v>
      </c>
      <c r="G34" s="4">
        <v>56709</v>
      </c>
      <c r="H34" s="4">
        <v>15</v>
      </c>
      <c r="I34" s="5">
        <v>46135</v>
      </c>
      <c r="J34" s="5">
        <v>46139</v>
      </c>
      <c r="K34" s="6" t="s">
        <v>29</v>
      </c>
    </row>
    <row r="35" spans="1:11" ht="15.6" x14ac:dyDescent="0.3">
      <c r="A35" s="3">
        <v>1387</v>
      </c>
      <c r="B35" s="4" t="s">
        <v>54</v>
      </c>
      <c r="C35" s="4" t="s">
        <v>33</v>
      </c>
      <c r="D35" s="4" t="s">
        <v>34</v>
      </c>
      <c r="E35" s="4" t="s">
        <v>35</v>
      </c>
      <c r="F35" s="4">
        <v>11</v>
      </c>
      <c r="G35" s="4">
        <v>56515</v>
      </c>
      <c r="H35" s="4">
        <v>5</v>
      </c>
      <c r="I35" s="5">
        <v>46102</v>
      </c>
      <c r="J35" s="5">
        <v>46112</v>
      </c>
      <c r="K35" s="6" t="s">
        <v>24</v>
      </c>
    </row>
    <row r="36" spans="1:11" ht="15.6" x14ac:dyDescent="0.3">
      <c r="A36" s="3">
        <v>1389</v>
      </c>
      <c r="B36" s="4" t="s">
        <v>32</v>
      </c>
      <c r="C36" s="4" t="s">
        <v>12</v>
      </c>
      <c r="D36" s="4" t="s">
        <v>34</v>
      </c>
      <c r="E36" s="4" t="s">
        <v>41</v>
      </c>
      <c r="F36" s="4">
        <v>3</v>
      </c>
      <c r="G36" s="4">
        <v>56380</v>
      </c>
      <c r="H36" s="4">
        <v>5</v>
      </c>
      <c r="I36" s="5">
        <v>46044</v>
      </c>
      <c r="J36" s="5">
        <v>46048</v>
      </c>
      <c r="K36" s="6" t="s">
        <v>51</v>
      </c>
    </row>
    <row r="37" spans="1:11" ht="15.6" x14ac:dyDescent="0.3">
      <c r="A37" s="3">
        <v>1121</v>
      </c>
      <c r="B37" s="4" t="s">
        <v>29</v>
      </c>
      <c r="C37" s="4" t="s">
        <v>12</v>
      </c>
      <c r="D37" s="4" t="s">
        <v>34</v>
      </c>
      <c r="E37" s="4" t="s">
        <v>39</v>
      </c>
      <c r="F37" s="4">
        <v>4</v>
      </c>
      <c r="G37" s="4">
        <v>55809</v>
      </c>
      <c r="H37" s="4">
        <v>2</v>
      </c>
      <c r="I37" s="5">
        <v>46103</v>
      </c>
      <c r="J37" s="5">
        <v>46108</v>
      </c>
      <c r="K37" s="6" t="s">
        <v>29</v>
      </c>
    </row>
    <row r="38" spans="1:11" ht="15.6" x14ac:dyDescent="0.3">
      <c r="A38" s="3">
        <v>1260</v>
      </c>
      <c r="B38" s="4" t="s">
        <v>54</v>
      </c>
      <c r="C38" s="4" t="s">
        <v>38</v>
      </c>
      <c r="D38" s="4" t="s">
        <v>34</v>
      </c>
      <c r="E38" s="4" t="s">
        <v>41</v>
      </c>
      <c r="F38" s="4">
        <v>19</v>
      </c>
      <c r="G38" s="4">
        <v>54981</v>
      </c>
      <c r="H38" s="4">
        <v>10</v>
      </c>
      <c r="I38" s="5">
        <v>46040</v>
      </c>
      <c r="J38" s="5">
        <v>46045</v>
      </c>
      <c r="K38" s="6" t="s">
        <v>29</v>
      </c>
    </row>
    <row r="39" spans="1:11" ht="15.6" x14ac:dyDescent="0.3">
      <c r="A39" s="3">
        <v>1161</v>
      </c>
      <c r="B39" s="4" t="s">
        <v>27</v>
      </c>
      <c r="C39" s="4" t="s">
        <v>25</v>
      </c>
      <c r="D39" s="4" t="s">
        <v>34</v>
      </c>
      <c r="E39" s="4" t="s">
        <v>39</v>
      </c>
      <c r="F39" s="4">
        <v>4</v>
      </c>
      <c r="G39" s="4">
        <v>54659</v>
      </c>
      <c r="H39" s="4">
        <v>7</v>
      </c>
      <c r="I39" s="5">
        <v>46105</v>
      </c>
      <c r="J39" s="5">
        <v>46109</v>
      </c>
      <c r="K39" s="6" t="s">
        <v>20</v>
      </c>
    </row>
    <row r="40" spans="1:11" ht="15.6" x14ac:dyDescent="0.3">
      <c r="A40" s="3">
        <v>1080</v>
      </c>
      <c r="B40" s="4" t="s">
        <v>21</v>
      </c>
      <c r="C40" s="4" t="s">
        <v>22</v>
      </c>
      <c r="D40" s="4" t="s">
        <v>34</v>
      </c>
      <c r="E40" s="4" t="s">
        <v>41</v>
      </c>
      <c r="F40" s="4">
        <v>12</v>
      </c>
      <c r="G40" s="4">
        <v>54161</v>
      </c>
      <c r="H40" s="4">
        <v>15</v>
      </c>
      <c r="I40" s="5">
        <v>46133</v>
      </c>
      <c r="J40" s="5">
        <v>46143</v>
      </c>
      <c r="K40" s="6" t="s">
        <v>24</v>
      </c>
    </row>
    <row r="41" spans="1:11" ht="15.6" x14ac:dyDescent="0.3">
      <c r="A41" s="3">
        <v>1160</v>
      </c>
      <c r="B41" s="4" t="s">
        <v>59</v>
      </c>
      <c r="C41" s="4" t="s">
        <v>22</v>
      </c>
      <c r="D41" s="4" t="s">
        <v>34</v>
      </c>
      <c r="E41" s="4" t="s">
        <v>39</v>
      </c>
      <c r="F41" s="4">
        <v>7</v>
      </c>
      <c r="G41" s="4">
        <v>53986</v>
      </c>
      <c r="H41" s="4">
        <v>10</v>
      </c>
      <c r="I41" s="5">
        <v>46142</v>
      </c>
      <c r="J41" s="5">
        <v>46147</v>
      </c>
      <c r="K41" s="6" t="s">
        <v>51</v>
      </c>
    </row>
    <row r="42" spans="1:11" ht="15.6" x14ac:dyDescent="0.3">
      <c r="A42" s="3">
        <v>1014</v>
      </c>
      <c r="B42" s="4" t="s">
        <v>40</v>
      </c>
      <c r="C42" s="4" t="s">
        <v>17</v>
      </c>
      <c r="D42" s="4" t="s">
        <v>34</v>
      </c>
      <c r="E42" s="4" t="s">
        <v>41</v>
      </c>
      <c r="F42" s="4">
        <v>19</v>
      </c>
      <c r="G42" s="4">
        <v>53683</v>
      </c>
      <c r="H42" s="4">
        <v>12</v>
      </c>
      <c r="I42" s="5">
        <v>46129</v>
      </c>
      <c r="J42" s="5">
        <v>46134</v>
      </c>
      <c r="K42" s="6" t="s">
        <v>29</v>
      </c>
    </row>
    <row r="43" spans="1:11" ht="15.6" x14ac:dyDescent="0.3">
      <c r="A43" s="3">
        <v>1356</v>
      </c>
      <c r="B43" s="4" t="s">
        <v>26</v>
      </c>
      <c r="C43" s="4" t="s">
        <v>38</v>
      </c>
      <c r="D43" s="4" t="s">
        <v>34</v>
      </c>
      <c r="E43" s="4" t="s">
        <v>60</v>
      </c>
      <c r="F43" s="4">
        <v>16</v>
      </c>
      <c r="G43" s="4">
        <v>53457</v>
      </c>
      <c r="H43" s="4">
        <v>10</v>
      </c>
      <c r="I43" s="5">
        <v>46201</v>
      </c>
      <c r="J43" s="5">
        <v>46204</v>
      </c>
      <c r="K43" s="6" t="s">
        <v>15</v>
      </c>
    </row>
    <row r="44" spans="1:11" ht="15.6" x14ac:dyDescent="0.3">
      <c r="A44" s="3">
        <v>1257</v>
      </c>
      <c r="B44" s="4" t="s">
        <v>54</v>
      </c>
      <c r="C44" s="4" t="s">
        <v>25</v>
      </c>
      <c r="D44" s="4" t="s">
        <v>34</v>
      </c>
      <c r="E44" s="4" t="s">
        <v>61</v>
      </c>
      <c r="F44" s="4">
        <v>7</v>
      </c>
      <c r="G44" s="4">
        <v>53243</v>
      </c>
      <c r="H44" s="4">
        <v>12</v>
      </c>
      <c r="I44" s="5">
        <v>46161</v>
      </c>
      <c r="J44" s="5">
        <v>46171</v>
      </c>
      <c r="K44" s="6" t="s">
        <v>15</v>
      </c>
    </row>
    <row r="45" spans="1:11" ht="15.6" x14ac:dyDescent="0.3">
      <c r="A45" s="3">
        <v>1400</v>
      </c>
      <c r="B45" s="4" t="s">
        <v>40</v>
      </c>
      <c r="C45" s="4" t="s">
        <v>22</v>
      </c>
      <c r="D45" s="4" t="s">
        <v>34</v>
      </c>
      <c r="E45" s="4" t="s">
        <v>35</v>
      </c>
      <c r="F45" s="4">
        <v>13</v>
      </c>
      <c r="G45" s="4">
        <v>52411</v>
      </c>
      <c r="H45" s="4">
        <v>15</v>
      </c>
      <c r="I45" s="5">
        <v>46090</v>
      </c>
      <c r="J45" s="5">
        <v>46092</v>
      </c>
      <c r="K45" s="6" t="s">
        <v>20</v>
      </c>
    </row>
    <row r="46" spans="1:11" ht="15.6" x14ac:dyDescent="0.3">
      <c r="A46" s="3">
        <v>1345</v>
      </c>
      <c r="B46" s="4" t="s">
        <v>32</v>
      </c>
      <c r="C46" s="4" t="s">
        <v>12</v>
      </c>
      <c r="D46" s="4" t="s">
        <v>34</v>
      </c>
      <c r="E46" s="4" t="s">
        <v>45</v>
      </c>
      <c r="F46" s="4">
        <v>12</v>
      </c>
      <c r="G46" s="4">
        <v>50544</v>
      </c>
      <c r="H46" s="4">
        <v>10</v>
      </c>
      <c r="I46" s="5">
        <v>46095</v>
      </c>
      <c r="J46" s="5">
        <v>46097</v>
      </c>
      <c r="K46" s="6" t="s">
        <v>29</v>
      </c>
    </row>
    <row r="47" spans="1:11" ht="15.6" x14ac:dyDescent="0.3">
      <c r="A47" s="3">
        <v>1184</v>
      </c>
      <c r="B47" s="4" t="s">
        <v>40</v>
      </c>
      <c r="C47" s="4" t="s">
        <v>31</v>
      </c>
      <c r="D47" s="4" t="s">
        <v>34</v>
      </c>
      <c r="E47" s="4" t="s">
        <v>39</v>
      </c>
      <c r="F47" s="4">
        <v>12</v>
      </c>
      <c r="G47" s="4">
        <v>50517</v>
      </c>
      <c r="H47" s="4">
        <v>15</v>
      </c>
      <c r="I47" s="5">
        <v>46145</v>
      </c>
      <c r="J47" s="5">
        <v>46153</v>
      </c>
      <c r="K47" s="6" t="s">
        <v>29</v>
      </c>
    </row>
    <row r="48" spans="1:11" ht="15.6" x14ac:dyDescent="0.3">
      <c r="A48" s="3">
        <v>1122</v>
      </c>
      <c r="B48" s="4" t="s">
        <v>40</v>
      </c>
      <c r="C48" s="4" t="s">
        <v>22</v>
      </c>
      <c r="D48" s="4" t="s">
        <v>34</v>
      </c>
      <c r="E48" s="4" t="s">
        <v>39</v>
      </c>
      <c r="F48" s="4">
        <v>14</v>
      </c>
      <c r="G48" s="4">
        <v>49990</v>
      </c>
      <c r="H48" s="4">
        <v>10</v>
      </c>
      <c r="I48" s="5">
        <v>46132</v>
      </c>
      <c r="J48" s="5">
        <v>46135</v>
      </c>
      <c r="K48" s="6" t="s">
        <v>29</v>
      </c>
    </row>
    <row r="49" spans="1:11" ht="15.6" x14ac:dyDescent="0.3">
      <c r="A49" s="3">
        <v>1111</v>
      </c>
      <c r="B49" s="4" t="s">
        <v>47</v>
      </c>
      <c r="C49" s="4" t="s">
        <v>17</v>
      </c>
      <c r="D49" s="4" t="s">
        <v>34</v>
      </c>
      <c r="E49" s="4" t="s">
        <v>35</v>
      </c>
      <c r="F49" s="4">
        <v>5</v>
      </c>
      <c r="G49" s="4">
        <v>49945</v>
      </c>
      <c r="H49" s="4">
        <v>12</v>
      </c>
      <c r="I49" s="5">
        <v>46133</v>
      </c>
      <c r="J49" s="5">
        <v>46141</v>
      </c>
      <c r="K49" s="6" t="s">
        <v>29</v>
      </c>
    </row>
    <row r="50" spans="1:11" ht="15.6" x14ac:dyDescent="0.3">
      <c r="A50" s="3">
        <v>1279</v>
      </c>
      <c r="B50" s="4" t="s">
        <v>55</v>
      </c>
      <c r="C50" s="4" t="s">
        <v>33</v>
      </c>
      <c r="D50" s="4" t="s">
        <v>34</v>
      </c>
      <c r="E50" s="4" t="s">
        <v>45</v>
      </c>
      <c r="F50" s="4">
        <v>20</v>
      </c>
      <c r="G50" s="4">
        <v>49042</v>
      </c>
      <c r="H50" s="4">
        <v>2</v>
      </c>
      <c r="I50" s="5">
        <v>46124</v>
      </c>
      <c r="J50" s="5">
        <v>46126</v>
      </c>
      <c r="K50" s="6" t="s">
        <v>15</v>
      </c>
    </row>
    <row r="51" spans="1:11" ht="15.6" x14ac:dyDescent="0.3">
      <c r="A51" s="3">
        <v>1079</v>
      </c>
      <c r="B51" s="4" t="s">
        <v>26</v>
      </c>
      <c r="C51" s="4" t="s">
        <v>38</v>
      </c>
      <c r="D51" s="4" t="s">
        <v>34</v>
      </c>
      <c r="E51" s="4" t="s">
        <v>41</v>
      </c>
      <c r="F51" s="4">
        <v>19</v>
      </c>
      <c r="G51" s="4">
        <v>48956</v>
      </c>
      <c r="H51" s="4">
        <v>12</v>
      </c>
      <c r="I51" s="5">
        <v>46170</v>
      </c>
      <c r="J51" s="5">
        <v>46177</v>
      </c>
      <c r="K51" s="6" t="s">
        <v>51</v>
      </c>
    </row>
    <row r="52" spans="1:11" ht="15.6" x14ac:dyDescent="0.3">
      <c r="A52" s="3">
        <v>1251</v>
      </c>
      <c r="B52" s="4" t="s">
        <v>55</v>
      </c>
      <c r="C52" s="4" t="s">
        <v>38</v>
      </c>
      <c r="D52" s="4" t="s">
        <v>34</v>
      </c>
      <c r="E52" s="4" t="s">
        <v>61</v>
      </c>
      <c r="F52" s="4">
        <v>19</v>
      </c>
      <c r="G52" s="4">
        <v>48548</v>
      </c>
      <c r="H52" s="4">
        <v>0</v>
      </c>
      <c r="I52" s="5">
        <v>46112</v>
      </c>
      <c r="J52" s="5">
        <v>46121</v>
      </c>
      <c r="K52" s="6" t="s">
        <v>51</v>
      </c>
    </row>
    <row r="53" spans="1:11" ht="15.6" x14ac:dyDescent="0.3">
      <c r="A53" s="3">
        <v>1373</v>
      </c>
      <c r="B53" s="4" t="s">
        <v>54</v>
      </c>
      <c r="C53" s="4" t="s">
        <v>25</v>
      </c>
      <c r="D53" s="4" t="s">
        <v>34</v>
      </c>
      <c r="E53" s="4" t="s">
        <v>60</v>
      </c>
      <c r="F53" s="4">
        <v>11</v>
      </c>
      <c r="G53" s="4">
        <v>47930</v>
      </c>
      <c r="H53" s="4">
        <v>12</v>
      </c>
      <c r="I53" s="5">
        <v>46191</v>
      </c>
      <c r="J53" s="5">
        <v>46201</v>
      </c>
      <c r="K53" s="6" t="s">
        <v>20</v>
      </c>
    </row>
    <row r="54" spans="1:11" ht="15.6" x14ac:dyDescent="0.3">
      <c r="A54" s="3">
        <v>1342</v>
      </c>
      <c r="B54" s="4" t="s">
        <v>59</v>
      </c>
      <c r="C54" s="4" t="s">
        <v>31</v>
      </c>
      <c r="D54" s="4" t="s">
        <v>34</v>
      </c>
      <c r="E54" s="4" t="s">
        <v>35</v>
      </c>
      <c r="F54" s="4">
        <v>13</v>
      </c>
      <c r="G54" s="4">
        <v>47881</v>
      </c>
      <c r="H54" s="4">
        <v>15</v>
      </c>
      <c r="I54" s="5">
        <v>46132</v>
      </c>
      <c r="J54" s="5">
        <v>46139</v>
      </c>
      <c r="K54" s="6" t="s">
        <v>29</v>
      </c>
    </row>
    <row r="55" spans="1:11" ht="15.6" x14ac:dyDescent="0.3">
      <c r="A55" s="3">
        <v>1253</v>
      </c>
      <c r="B55" s="4" t="s">
        <v>21</v>
      </c>
      <c r="C55" s="4" t="s">
        <v>31</v>
      </c>
      <c r="D55" s="4" t="s">
        <v>34</v>
      </c>
      <c r="E55" s="4" t="s">
        <v>45</v>
      </c>
      <c r="F55" s="4">
        <v>20</v>
      </c>
      <c r="G55" s="4">
        <v>47880</v>
      </c>
      <c r="H55" s="4">
        <v>7</v>
      </c>
      <c r="I55" s="5">
        <v>46074</v>
      </c>
      <c r="J55" s="5">
        <v>46075</v>
      </c>
      <c r="K55" s="6" t="s">
        <v>29</v>
      </c>
    </row>
    <row r="56" spans="1:11" ht="15.6" x14ac:dyDescent="0.3">
      <c r="A56" s="3">
        <v>1176</v>
      </c>
      <c r="B56" s="4" t="s">
        <v>58</v>
      </c>
      <c r="C56" s="4" t="s">
        <v>38</v>
      </c>
      <c r="D56" s="4" t="s">
        <v>34</v>
      </c>
      <c r="E56" s="4" t="s">
        <v>41</v>
      </c>
      <c r="F56" s="4">
        <v>17</v>
      </c>
      <c r="G56" s="4">
        <v>46937</v>
      </c>
      <c r="H56" s="4">
        <v>12</v>
      </c>
      <c r="I56" s="5">
        <v>46048</v>
      </c>
      <c r="J56" s="5">
        <v>46056</v>
      </c>
      <c r="K56" s="6" t="s">
        <v>29</v>
      </c>
    </row>
    <row r="57" spans="1:11" ht="15.6" x14ac:dyDescent="0.3">
      <c r="A57" s="3">
        <v>1268</v>
      </c>
      <c r="B57" s="4" t="s">
        <v>42</v>
      </c>
      <c r="C57" s="4" t="s">
        <v>38</v>
      </c>
      <c r="D57" s="4" t="s">
        <v>34</v>
      </c>
      <c r="E57" s="4" t="s">
        <v>45</v>
      </c>
      <c r="F57" s="4">
        <v>10</v>
      </c>
      <c r="G57" s="4">
        <v>46291</v>
      </c>
      <c r="H57" s="4">
        <v>12</v>
      </c>
      <c r="I57" s="5">
        <v>46199</v>
      </c>
      <c r="J57" s="5">
        <v>46202</v>
      </c>
      <c r="K57" s="6" t="s">
        <v>20</v>
      </c>
    </row>
    <row r="58" spans="1:11" ht="15.6" x14ac:dyDescent="0.3">
      <c r="A58" s="3">
        <v>1043</v>
      </c>
      <c r="B58" s="4" t="s">
        <v>49</v>
      </c>
      <c r="C58" s="4" t="s">
        <v>38</v>
      </c>
      <c r="D58" s="4" t="s">
        <v>34</v>
      </c>
      <c r="E58" s="4" t="s">
        <v>35</v>
      </c>
      <c r="F58" s="4">
        <v>20</v>
      </c>
      <c r="G58" s="4">
        <v>46093</v>
      </c>
      <c r="H58" s="4">
        <v>5</v>
      </c>
      <c r="I58" s="5">
        <v>46091</v>
      </c>
      <c r="J58" s="5">
        <v>46098</v>
      </c>
      <c r="K58" s="6" t="s">
        <v>29</v>
      </c>
    </row>
    <row r="59" spans="1:11" ht="15.6" x14ac:dyDescent="0.3">
      <c r="A59" s="3">
        <v>1019</v>
      </c>
      <c r="B59" s="4" t="s">
        <v>11</v>
      </c>
      <c r="C59" s="4" t="s">
        <v>43</v>
      </c>
      <c r="D59" s="4" t="s">
        <v>34</v>
      </c>
      <c r="E59" s="4" t="s">
        <v>41</v>
      </c>
      <c r="F59" s="4">
        <v>18</v>
      </c>
      <c r="G59" s="4">
        <v>45652</v>
      </c>
      <c r="H59" s="4">
        <v>10</v>
      </c>
      <c r="I59" s="5">
        <v>46023</v>
      </c>
      <c r="J59" s="5">
        <v>46030</v>
      </c>
      <c r="K59" s="6" t="s">
        <v>20</v>
      </c>
    </row>
    <row r="60" spans="1:11" ht="15.6" x14ac:dyDescent="0.3">
      <c r="A60" s="3">
        <v>1363</v>
      </c>
      <c r="B60" s="4" t="s">
        <v>27</v>
      </c>
      <c r="C60" s="4" t="s">
        <v>25</v>
      </c>
      <c r="D60" s="4" t="s">
        <v>34</v>
      </c>
      <c r="E60" s="4" t="s">
        <v>35</v>
      </c>
      <c r="F60" s="4">
        <v>7</v>
      </c>
      <c r="G60" s="4">
        <v>45381</v>
      </c>
      <c r="H60" s="4">
        <v>0</v>
      </c>
      <c r="I60" s="5">
        <v>46122</v>
      </c>
      <c r="J60" s="5">
        <v>46128</v>
      </c>
      <c r="K60" s="6" t="s">
        <v>15</v>
      </c>
    </row>
    <row r="61" spans="1:11" ht="15.6" x14ac:dyDescent="0.3">
      <c r="A61" s="3">
        <v>1197</v>
      </c>
      <c r="B61" s="4" t="s">
        <v>52</v>
      </c>
      <c r="C61" s="4" t="s">
        <v>31</v>
      </c>
      <c r="D61" s="4" t="s">
        <v>34</v>
      </c>
      <c r="E61" s="4" t="s">
        <v>35</v>
      </c>
      <c r="F61" s="4">
        <v>5</v>
      </c>
      <c r="G61" s="4">
        <v>45352</v>
      </c>
      <c r="H61" s="4">
        <v>12</v>
      </c>
      <c r="I61" s="5">
        <v>46045</v>
      </c>
      <c r="J61" s="5">
        <v>46048</v>
      </c>
      <c r="K61" s="6" t="s">
        <v>15</v>
      </c>
    </row>
    <row r="62" spans="1:11" ht="15.6" x14ac:dyDescent="0.3">
      <c r="A62" s="3">
        <v>1085</v>
      </c>
      <c r="B62" s="4" t="s">
        <v>32</v>
      </c>
      <c r="C62" s="4" t="s">
        <v>38</v>
      </c>
      <c r="D62" s="4" t="s">
        <v>34</v>
      </c>
      <c r="E62" s="4" t="s">
        <v>60</v>
      </c>
      <c r="F62" s="4">
        <v>19</v>
      </c>
      <c r="G62" s="4">
        <v>45307</v>
      </c>
      <c r="H62" s="4">
        <v>12</v>
      </c>
      <c r="I62" s="5">
        <v>46146</v>
      </c>
      <c r="J62" s="5">
        <v>46150</v>
      </c>
      <c r="K62" s="6" t="s">
        <v>24</v>
      </c>
    </row>
    <row r="63" spans="1:11" ht="15.6" x14ac:dyDescent="0.3">
      <c r="A63" s="3">
        <v>1366</v>
      </c>
      <c r="B63" s="4" t="s">
        <v>26</v>
      </c>
      <c r="C63" s="4" t="s">
        <v>17</v>
      </c>
      <c r="D63" s="4" t="s">
        <v>34</v>
      </c>
      <c r="E63" s="4" t="s">
        <v>61</v>
      </c>
      <c r="F63" s="4">
        <v>20</v>
      </c>
      <c r="G63" s="4">
        <v>44312</v>
      </c>
      <c r="H63" s="4">
        <v>10</v>
      </c>
      <c r="I63" s="5">
        <v>46047</v>
      </c>
      <c r="J63" s="5">
        <v>46054</v>
      </c>
      <c r="K63" s="6" t="s">
        <v>29</v>
      </c>
    </row>
    <row r="64" spans="1:11" ht="15.6" x14ac:dyDescent="0.3">
      <c r="A64" s="3">
        <v>1331</v>
      </c>
      <c r="B64" s="4" t="s">
        <v>21</v>
      </c>
      <c r="C64" s="4" t="s">
        <v>25</v>
      </c>
      <c r="D64" s="4" t="s">
        <v>34</v>
      </c>
      <c r="E64" s="4" t="s">
        <v>61</v>
      </c>
      <c r="F64" s="4">
        <v>2</v>
      </c>
      <c r="G64" s="4">
        <v>43557</v>
      </c>
      <c r="H64" s="4">
        <v>2</v>
      </c>
      <c r="I64" s="5">
        <v>46190</v>
      </c>
      <c r="J64" s="5">
        <v>46200</v>
      </c>
      <c r="K64" s="6" t="s">
        <v>15</v>
      </c>
    </row>
    <row r="65" spans="1:11" ht="15.6" x14ac:dyDescent="0.3">
      <c r="A65" s="3">
        <v>1172</v>
      </c>
      <c r="B65" s="4" t="s">
        <v>16</v>
      </c>
      <c r="C65" s="4" t="s">
        <v>12</v>
      </c>
      <c r="D65" s="4" t="s">
        <v>34</v>
      </c>
      <c r="E65" s="4" t="s">
        <v>45</v>
      </c>
      <c r="F65" s="4">
        <v>13</v>
      </c>
      <c r="G65" s="4">
        <v>43163</v>
      </c>
      <c r="H65" s="4">
        <v>12</v>
      </c>
      <c r="I65" s="5">
        <v>46120</v>
      </c>
      <c r="J65" s="5">
        <v>46129</v>
      </c>
      <c r="K65" s="6" t="s">
        <v>24</v>
      </c>
    </row>
    <row r="66" spans="1:11" ht="15.6" x14ac:dyDescent="0.3">
      <c r="A66" s="3">
        <v>1272</v>
      </c>
      <c r="B66" s="4" t="s">
        <v>52</v>
      </c>
      <c r="C66" s="4" t="s">
        <v>38</v>
      </c>
      <c r="D66" s="4" t="s">
        <v>34</v>
      </c>
      <c r="E66" s="4" t="s">
        <v>41</v>
      </c>
      <c r="F66" s="4">
        <v>13</v>
      </c>
      <c r="G66" s="4">
        <v>42179</v>
      </c>
      <c r="H66" s="4">
        <v>0</v>
      </c>
      <c r="I66" s="5">
        <v>46078</v>
      </c>
      <c r="J66" s="5">
        <v>46084</v>
      </c>
      <c r="K66" s="6" t="s">
        <v>20</v>
      </c>
    </row>
    <row r="67" spans="1:11" ht="15.6" x14ac:dyDescent="0.3">
      <c r="A67" s="3">
        <v>1088</v>
      </c>
      <c r="B67" s="4" t="s">
        <v>40</v>
      </c>
      <c r="C67" s="4" t="s">
        <v>33</v>
      </c>
      <c r="D67" s="4" t="s">
        <v>34</v>
      </c>
      <c r="E67" s="4" t="s">
        <v>41</v>
      </c>
      <c r="F67" s="4">
        <v>20</v>
      </c>
      <c r="G67" s="4">
        <v>41165</v>
      </c>
      <c r="H67" s="4">
        <v>0</v>
      </c>
      <c r="I67" s="5">
        <v>46068</v>
      </c>
      <c r="J67" s="5">
        <v>46069</v>
      </c>
      <c r="K67" s="6" t="s">
        <v>20</v>
      </c>
    </row>
    <row r="68" spans="1:11" ht="15.6" x14ac:dyDescent="0.3">
      <c r="A68" s="3">
        <v>1049</v>
      </c>
      <c r="B68" s="4" t="s">
        <v>52</v>
      </c>
      <c r="C68" s="4" t="s">
        <v>25</v>
      </c>
      <c r="D68" s="4" t="s">
        <v>34</v>
      </c>
      <c r="E68" s="4" t="s">
        <v>45</v>
      </c>
      <c r="F68" s="4">
        <v>2</v>
      </c>
      <c r="G68" s="4">
        <v>40789</v>
      </c>
      <c r="H68" s="4">
        <v>0</v>
      </c>
      <c r="I68" s="5">
        <v>46102</v>
      </c>
      <c r="J68" s="5">
        <v>46108</v>
      </c>
      <c r="K68" s="6" t="s">
        <v>24</v>
      </c>
    </row>
    <row r="69" spans="1:11" ht="15.6" x14ac:dyDescent="0.3">
      <c r="A69" s="3">
        <v>1009</v>
      </c>
      <c r="B69" s="4" t="s">
        <v>32</v>
      </c>
      <c r="C69" s="4" t="s">
        <v>33</v>
      </c>
      <c r="D69" s="4" t="s">
        <v>34</v>
      </c>
      <c r="E69" s="4" t="s">
        <v>35</v>
      </c>
      <c r="F69" s="4">
        <v>10</v>
      </c>
      <c r="G69" s="4">
        <v>40671</v>
      </c>
      <c r="H69" s="4">
        <v>12</v>
      </c>
      <c r="I69" s="5">
        <v>46183</v>
      </c>
      <c r="J69" s="5">
        <v>46193</v>
      </c>
      <c r="K69" s="6" t="s">
        <v>24</v>
      </c>
    </row>
    <row r="70" spans="1:11" ht="15.6" x14ac:dyDescent="0.3">
      <c r="A70" s="3">
        <v>1334</v>
      </c>
      <c r="B70" s="4" t="s">
        <v>40</v>
      </c>
      <c r="C70" s="4" t="s">
        <v>12</v>
      </c>
      <c r="D70" s="4" t="s">
        <v>34</v>
      </c>
      <c r="E70" s="4" t="s">
        <v>41</v>
      </c>
      <c r="F70" s="4">
        <v>15</v>
      </c>
      <c r="G70" s="4">
        <v>39853</v>
      </c>
      <c r="H70" s="4">
        <v>7</v>
      </c>
      <c r="I70" s="5">
        <v>46038</v>
      </c>
      <c r="J70" s="5">
        <v>46047</v>
      </c>
      <c r="K70" s="6" t="s">
        <v>51</v>
      </c>
    </row>
    <row r="71" spans="1:11" ht="15.6" x14ac:dyDescent="0.3">
      <c r="A71" s="3">
        <v>1259</v>
      </c>
      <c r="B71" s="4" t="s">
        <v>42</v>
      </c>
      <c r="C71" s="4" t="s">
        <v>22</v>
      </c>
      <c r="D71" s="4" t="s">
        <v>34</v>
      </c>
      <c r="E71" s="4" t="s">
        <v>45</v>
      </c>
      <c r="F71" s="4">
        <v>10</v>
      </c>
      <c r="G71" s="4">
        <v>38771</v>
      </c>
      <c r="H71" s="4">
        <v>15</v>
      </c>
      <c r="I71" s="5">
        <v>46172</v>
      </c>
      <c r="J71" s="5">
        <v>46182</v>
      </c>
      <c r="K71" s="6" t="s">
        <v>15</v>
      </c>
    </row>
    <row r="72" spans="1:11" ht="15.6" x14ac:dyDescent="0.3">
      <c r="A72" s="3">
        <v>1359</v>
      </c>
      <c r="B72" s="4" t="s">
        <v>54</v>
      </c>
      <c r="C72" s="4" t="s">
        <v>12</v>
      </c>
      <c r="D72" s="4" t="s">
        <v>34</v>
      </c>
      <c r="E72" s="4" t="s">
        <v>61</v>
      </c>
      <c r="F72" s="4">
        <v>9</v>
      </c>
      <c r="G72" s="4">
        <v>38179</v>
      </c>
      <c r="H72" s="4">
        <v>0</v>
      </c>
      <c r="I72" s="5">
        <v>46096</v>
      </c>
      <c r="J72" s="5">
        <v>46099</v>
      </c>
      <c r="K72" s="6" t="s">
        <v>15</v>
      </c>
    </row>
    <row r="73" spans="1:11" ht="15.6" x14ac:dyDescent="0.3">
      <c r="A73" s="3">
        <v>1384</v>
      </c>
      <c r="B73" s="4" t="s">
        <v>59</v>
      </c>
      <c r="C73" s="4" t="s">
        <v>12</v>
      </c>
      <c r="D73" s="4" t="s">
        <v>34</v>
      </c>
      <c r="E73" s="4" t="s">
        <v>39</v>
      </c>
      <c r="F73" s="4">
        <v>15</v>
      </c>
      <c r="G73" s="4">
        <v>38116</v>
      </c>
      <c r="H73" s="4">
        <v>0</v>
      </c>
      <c r="I73" s="5">
        <v>46074</v>
      </c>
      <c r="J73" s="5">
        <v>46078</v>
      </c>
      <c r="K73" s="6" t="s">
        <v>29</v>
      </c>
    </row>
    <row r="74" spans="1:11" ht="15.6" x14ac:dyDescent="0.3">
      <c r="A74" s="3">
        <v>1101</v>
      </c>
      <c r="B74" s="4" t="s">
        <v>27</v>
      </c>
      <c r="C74" s="4" t="s">
        <v>22</v>
      </c>
      <c r="D74" s="4" t="s">
        <v>34</v>
      </c>
      <c r="E74" s="4" t="s">
        <v>61</v>
      </c>
      <c r="F74" s="4">
        <v>9</v>
      </c>
      <c r="G74" s="4">
        <v>37361</v>
      </c>
      <c r="H74" s="4">
        <v>10</v>
      </c>
      <c r="I74" s="5">
        <v>46141</v>
      </c>
      <c r="J74" s="5">
        <v>46142</v>
      </c>
      <c r="K74" s="6" t="s">
        <v>24</v>
      </c>
    </row>
    <row r="75" spans="1:11" ht="15.6" x14ac:dyDescent="0.3">
      <c r="A75" s="3">
        <v>1271</v>
      </c>
      <c r="B75" s="4" t="s">
        <v>40</v>
      </c>
      <c r="C75" s="4" t="s">
        <v>33</v>
      </c>
      <c r="D75" s="4" t="s">
        <v>34</v>
      </c>
      <c r="E75" s="4" t="s">
        <v>60</v>
      </c>
      <c r="F75" s="4">
        <v>20</v>
      </c>
      <c r="G75" s="4">
        <v>36941</v>
      </c>
      <c r="H75" s="4">
        <v>15</v>
      </c>
      <c r="I75" s="5">
        <v>46083</v>
      </c>
      <c r="J75" s="5">
        <v>46085</v>
      </c>
      <c r="K75" s="6" t="s">
        <v>29</v>
      </c>
    </row>
    <row r="76" spans="1:11" ht="15.6" x14ac:dyDescent="0.3">
      <c r="A76" s="3">
        <v>1274</v>
      </c>
      <c r="B76" s="4" t="s">
        <v>26</v>
      </c>
      <c r="C76" s="4" t="s">
        <v>25</v>
      </c>
      <c r="D76" s="4" t="s">
        <v>34</v>
      </c>
      <c r="E76" s="4" t="s">
        <v>41</v>
      </c>
      <c r="F76" s="4">
        <v>13</v>
      </c>
      <c r="G76" s="4">
        <v>36652</v>
      </c>
      <c r="H76" s="4">
        <v>12</v>
      </c>
      <c r="I76" s="5">
        <v>46179</v>
      </c>
      <c r="J76" s="5">
        <v>46186</v>
      </c>
      <c r="K76" s="6" t="s">
        <v>20</v>
      </c>
    </row>
    <row r="77" spans="1:11" ht="15.6" x14ac:dyDescent="0.3">
      <c r="A77" s="3">
        <v>1382</v>
      </c>
      <c r="B77" s="4" t="s">
        <v>49</v>
      </c>
      <c r="C77" s="4" t="s">
        <v>33</v>
      </c>
      <c r="D77" s="4" t="s">
        <v>34</v>
      </c>
      <c r="E77" s="4" t="s">
        <v>60</v>
      </c>
      <c r="F77" s="4">
        <v>11</v>
      </c>
      <c r="G77" s="4">
        <v>36198</v>
      </c>
      <c r="H77" s="4">
        <v>0</v>
      </c>
      <c r="I77" s="5">
        <v>46130</v>
      </c>
      <c r="J77" s="5">
        <v>46134</v>
      </c>
      <c r="K77" s="6" t="s">
        <v>15</v>
      </c>
    </row>
    <row r="78" spans="1:11" ht="15.6" x14ac:dyDescent="0.3">
      <c r="A78" s="3">
        <v>1355</v>
      </c>
      <c r="B78" s="4" t="s">
        <v>27</v>
      </c>
      <c r="C78" s="4" t="s">
        <v>12</v>
      </c>
      <c r="D78" s="4" t="s">
        <v>34</v>
      </c>
      <c r="E78" s="4" t="s">
        <v>60</v>
      </c>
      <c r="F78" s="4">
        <v>18</v>
      </c>
      <c r="G78" s="4">
        <v>35997</v>
      </c>
      <c r="H78" s="4">
        <v>2</v>
      </c>
      <c r="I78" s="5">
        <v>46024</v>
      </c>
      <c r="J78" s="5">
        <v>46031</v>
      </c>
      <c r="K78" s="6" t="s">
        <v>51</v>
      </c>
    </row>
    <row r="79" spans="1:11" ht="15.6" x14ac:dyDescent="0.3">
      <c r="A79" s="3">
        <v>1288</v>
      </c>
      <c r="B79" s="4" t="s">
        <v>54</v>
      </c>
      <c r="C79" s="4" t="s">
        <v>22</v>
      </c>
      <c r="D79" s="4" t="s">
        <v>34</v>
      </c>
      <c r="E79" s="4" t="s">
        <v>60</v>
      </c>
      <c r="F79" s="4">
        <v>14</v>
      </c>
      <c r="G79" s="4">
        <v>35601</v>
      </c>
      <c r="H79" s="4">
        <v>10</v>
      </c>
      <c r="I79" s="5">
        <v>46179</v>
      </c>
      <c r="J79" s="5">
        <v>46187</v>
      </c>
      <c r="K79" s="6" t="s">
        <v>29</v>
      </c>
    </row>
    <row r="80" spans="1:11" ht="15.6" x14ac:dyDescent="0.3">
      <c r="A80" s="3">
        <v>1145</v>
      </c>
      <c r="B80" s="4" t="s">
        <v>42</v>
      </c>
      <c r="C80" s="4" t="s">
        <v>33</v>
      </c>
      <c r="D80" s="4" t="s">
        <v>34</v>
      </c>
      <c r="E80" s="4" t="s">
        <v>39</v>
      </c>
      <c r="F80" s="4">
        <v>2</v>
      </c>
      <c r="G80" s="4">
        <v>34429</v>
      </c>
      <c r="H80" s="4">
        <v>12</v>
      </c>
      <c r="I80" s="5">
        <v>46102</v>
      </c>
      <c r="J80" s="5">
        <v>46112</v>
      </c>
      <c r="K80" s="6" t="s">
        <v>24</v>
      </c>
    </row>
    <row r="81" spans="1:11" ht="15.6" x14ac:dyDescent="0.3">
      <c r="A81" s="3">
        <v>1212</v>
      </c>
      <c r="B81" s="4" t="s">
        <v>59</v>
      </c>
      <c r="C81" s="4" t="s">
        <v>25</v>
      </c>
      <c r="D81" s="4" t="s">
        <v>34</v>
      </c>
      <c r="E81" s="4" t="s">
        <v>60</v>
      </c>
      <c r="F81" s="4">
        <v>10</v>
      </c>
      <c r="G81" s="4">
        <v>34380</v>
      </c>
      <c r="H81" s="4">
        <v>7</v>
      </c>
      <c r="I81" s="5">
        <v>46194</v>
      </c>
      <c r="J81" s="5">
        <v>46195</v>
      </c>
      <c r="K81" s="6" t="s">
        <v>29</v>
      </c>
    </row>
    <row r="82" spans="1:11" ht="15.6" x14ac:dyDescent="0.3">
      <c r="A82" s="3">
        <v>1117</v>
      </c>
      <c r="B82" s="4" t="s">
        <v>55</v>
      </c>
      <c r="C82" s="4" t="s">
        <v>43</v>
      </c>
      <c r="D82" s="4" t="s">
        <v>34</v>
      </c>
      <c r="E82" s="4" t="s">
        <v>39</v>
      </c>
      <c r="F82" s="4">
        <v>16</v>
      </c>
      <c r="G82" s="4">
        <v>33162</v>
      </c>
      <c r="H82" s="4">
        <v>7</v>
      </c>
      <c r="I82" s="5">
        <v>46147</v>
      </c>
      <c r="J82" s="5">
        <v>46155</v>
      </c>
      <c r="K82" s="6" t="s">
        <v>29</v>
      </c>
    </row>
    <row r="83" spans="1:11" ht="15.6" x14ac:dyDescent="0.3">
      <c r="A83" s="3">
        <v>1343</v>
      </c>
      <c r="B83" s="4" t="s">
        <v>59</v>
      </c>
      <c r="C83" s="4" t="s">
        <v>31</v>
      </c>
      <c r="D83" s="4" t="s">
        <v>34</v>
      </c>
      <c r="E83" s="4" t="s">
        <v>39</v>
      </c>
      <c r="F83" s="4">
        <v>14</v>
      </c>
      <c r="G83" s="4">
        <v>32719</v>
      </c>
      <c r="H83" s="4">
        <v>15</v>
      </c>
      <c r="I83" s="5">
        <v>46174</v>
      </c>
      <c r="J83" s="5">
        <v>46179</v>
      </c>
      <c r="K83" s="6" t="s">
        <v>15</v>
      </c>
    </row>
    <row r="84" spans="1:11" ht="15.6" x14ac:dyDescent="0.3">
      <c r="A84" s="3">
        <v>1225</v>
      </c>
      <c r="B84" s="4" t="s">
        <v>42</v>
      </c>
      <c r="C84" s="4" t="s">
        <v>31</v>
      </c>
      <c r="D84" s="4" t="s">
        <v>34</v>
      </c>
      <c r="E84" s="4" t="s">
        <v>35</v>
      </c>
      <c r="F84" s="4">
        <v>16</v>
      </c>
      <c r="G84" s="4">
        <v>32262</v>
      </c>
      <c r="H84" s="4">
        <v>12</v>
      </c>
      <c r="I84" s="5">
        <v>46125</v>
      </c>
      <c r="J84" s="5">
        <v>46126</v>
      </c>
      <c r="K84" s="6" t="s">
        <v>20</v>
      </c>
    </row>
    <row r="85" spans="1:11" ht="15.6" x14ac:dyDescent="0.3">
      <c r="A85" s="3">
        <v>1071</v>
      </c>
      <c r="B85" s="4" t="s">
        <v>59</v>
      </c>
      <c r="C85" s="4" t="s">
        <v>22</v>
      </c>
      <c r="D85" s="4" t="s">
        <v>34</v>
      </c>
      <c r="E85" s="4" t="s">
        <v>61</v>
      </c>
      <c r="F85" s="4">
        <v>18</v>
      </c>
      <c r="G85" s="4">
        <v>32197</v>
      </c>
      <c r="H85" s="4">
        <v>5</v>
      </c>
      <c r="I85" s="5">
        <v>46129</v>
      </c>
      <c r="J85" s="5">
        <v>46137</v>
      </c>
      <c r="K85" s="6" t="s">
        <v>20</v>
      </c>
    </row>
    <row r="86" spans="1:11" ht="15.6" x14ac:dyDescent="0.3">
      <c r="A86" s="3">
        <v>1323</v>
      </c>
      <c r="B86" s="4" t="s">
        <v>57</v>
      </c>
      <c r="C86" s="4" t="s">
        <v>38</v>
      </c>
      <c r="D86" s="4" t="s">
        <v>34</v>
      </c>
      <c r="E86" s="4" t="s">
        <v>61</v>
      </c>
      <c r="F86" s="4">
        <v>2</v>
      </c>
      <c r="G86" s="4">
        <v>32074</v>
      </c>
      <c r="H86" s="4">
        <v>10</v>
      </c>
      <c r="I86" s="5">
        <v>46073</v>
      </c>
      <c r="J86" s="5">
        <v>46078</v>
      </c>
      <c r="K86" s="6" t="s">
        <v>15</v>
      </c>
    </row>
    <row r="87" spans="1:11" ht="15.6" x14ac:dyDescent="0.3">
      <c r="A87" s="3">
        <v>1305</v>
      </c>
      <c r="B87" s="4" t="s">
        <v>58</v>
      </c>
      <c r="C87" s="4" t="s">
        <v>31</v>
      </c>
      <c r="D87" s="4" t="s">
        <v>34</v>
      </c>
      <c r="E87" s="4" t="s">
        <v>60</v>
      </c>
      <c r="F87" s="4">
        <v>20</v>
      </c>
      <c r="G87" s="4">
        <v>31406</v>
      </c>
      <c r="H87" s="4">
        <v>15</v>
      </c>
      <c r="I87" s="5">
        <v>46146</v>
      </c>
      <c r="J87" s="5">
        <v>46154</v>
      </c>
      <c r="K87" s="6" t="s">
        <v>51</v>
      </c>
    </row>
    <row r="88" spans="1:11" ht="15.6" x14ac:dyDescent="0.3">
      <c r="A88" s="3">
        <v>1393</v>
      </c>
      <c r="B88" s="4" t="s">
        <v>30</v>
      </c>
      <c r="C88" s="4" t="s">
        <v>25</v>
      </c>
      <c r="D88" s="4" t="s">
        <v>34</v>
      </c>
      <c r="E88" s="4" t="s">
        <v>45</v>
      </c>
      <c r="F88" s="4">
        <v>17</v>
      </c>
      <c r="G88" s="4">
        <v>30351</v>
      </c>
      <c r="H88" s="4">
        <v>15</v>
      </c>
      <c r="I88" s="5">
        <v>46047</v>
      </c>
      <c r="J88" s="5">
        <v>46051</v>
      </c>
      <c r="K88" s="6" t="s">
        <v>51</v>
      </c>
    </row>
    <row r="89" spans="1:11" ht="15.6" x14ac:dyDescent="0.3">
      <c r="A89" s="3">
        <v>1016</v>
      </c>
      <c r="B89" s="4" t="s">
        <v>32</v>
      </c>
      <c r="C89" s="4" t="s">
        <v>33</v>
      </c>
      <c r="D89" s="4" t="s">
        <v>34</v>
      </c>
      <c r="E89" s="4" t="s">
        <v>45</v>
      </c>
      <c r="F89" s="4">
        <v>16</v>
      </c>
      <c r="G89" s="4">
        <v>30234</v>
      </c>
      <c r="H89" s="4">
        <v>15</v>
      </c>
      <c r="I89" s="5">
        <v>46137</v>
      </c>
      <c r="J89" s="5">
        <v>46140</v>
      </c>
      <c r="K89" s="6" t="s">
        <v>24</v>
      </c>
    </row>
    <row r="90" spans="1:11" ht="15.6" x14ac:dyDescent="0.3">
      <c r="A90" s="3">
        <v>1134</v>
      </c>
      <c r="B90" s="4" t="s">
        <v>57</v>
      </c>
      <c r="C90" s="4" t="s">
        <v>31</v>
      </c>
      <c r="D90" s="4" t="s">
        <v>34</v>
      </c>
      <c r="E90" s="4" t="s">
        <v>61</v>
      </c>
      <c r="F90" s="4">
        <v>10</v>
      </c>
      <c r="G90" s="4">
        <v>29217</v>
      </c>
      <c r="H90" s="4">
        <v>15</v>
      </c>
      <c r="I90" s="5">
        <v>46148</v>
      </c>
      <c r="J90" s="5">
        <v>46150</v>
      </c>
      <c r="K90" s="6" t="s">
        <v>24</v>
      </c>
    </row>
    <row r="91" spans="1:11" ht="15.6" x14ac:dyDescent="0.3">
      <c r="A91" s="3">
        <v>1097</v>
      </c>
      <c r="B91" s="4" t="s">
        <v>52</v>
      </c>
      <c r="C91" s="4" t="s">
        <v>22</v>
      </c>
      <c r="D91" s="4" t="s">
        <v>34</v>
      </c>
      <c r="E91" s="4" t="s">
        <v>61</v>
      </c>
      <c r="F91" s="4">
        <v>10</v>
      </c>
      <c r="G91" s="4">
        <v>28980</v>
      </c>
      <c r="H91" s="4">
        <v>10</v>
      </c>
      <c r="I91" s="5">
        <v>46089</v>
      </c>
      <c r="J91" s="5">
        <v>46094</v>
      </c>
      <c r="K91" s="6" t="s">
        <v>24</v>
      </c>
    </row>
    <row r="92" spans="1:11" ht="15.6" x14ac:dyDescent="0.3">
      <c r="A92" s="3">
        <v>1139</v>
      </c>
      <c r="B92" s="4" t="s">
        <v>55</v>
      </c>
      <c r="C92" s="4" t="s">
        <v>33</v>
      </c>
      <c r="D92" s="4" t="s">
        <v>34</v>
      </c>
      <c r="E92" s="4" t="s">
        <v>61</v>
      </c>
      <c r="F92" s="4">
        <v>17</v>
      </c>
      <c r="G92" s="4">
        <v>28839</v>
      </c>
      <c r="H92" s="4">
        <v>10</v>
      </c>
      <c r="I92" s="5">
        <v>46093</v>
      </c>
      <c r="J92" s="5">
        <v>46099</v>
      </c>
      <c r="K92" s="6" t="s">
        <v>15</v>
      </c>
    </row>
    <row r="93" spans="1:11" ht="15.6" x14ac:dyDescent="0.3">
      <c r="A93" s="3">
        <v>1162</v>
      </c>
      <c r="B93" s="4" t="s">
        <v>57</v>
      </c>
      <c r="C93" s="4" t="s">
        <v>31</v>
      </c>
      <c r="D93" s="4" t="s">
        <v>34</v>
      </c>
      <c r="E93" s="4" t="s">
        <v>45</v>
      </c>
      <c r="F93" s="4">
        <v>2</v>
      </c>
      <c r="G93" s="4">
        <v>28176</v>
      </c>
      <c r="H93" s="4">
        <v>10</v>
      </c>
      <c r="I93" s="5">
        <v>46100</v>
      </c>
      <c r="J93" s="5">
        <v>46101</v>
      </c>
      <c r="K93" s="6" t="s">
        <v>20</v>
      </c>
    </row>
    <row r="94" spans="1:11" ht="15.6" x14ac:dyDescent="0.3">
      <c r="A94" s="3">
        <v>1213</v>
      </c>
      <c r="B94" s="4" t="s">
        <v>32</v>
      </c>
      <c r="C94" s="4" t="s">
        <v>38</v>
      </c>
      <c r="D94" s="4" t="s">
        <v>34</v>
      </c>
      <c r="E94" s="4" t="s">
        <v>45</v>
      </c>
      <c r="F94" s="4">
        <v>16</v>
      </c>
      <c r="G94" s="4">
        <v>27741</v>
      </c>
      <c r="H94" s="4">
        <v>12</v>
      </c>
      <c r="I94" s="5">
        <v>46116</v>
      </c>
      <c r="J94" s="5">
        <v>46119</v>
      </c>
      <c r="K94" s="6" t="s">
        <v>15</v>
      </c>
    </row>
    <row r="95" spans="1:11" ht="15.6" x14ac:dyDescent="0.3">
      <c r="A95" s="3">
        <v>1076</v>
      </c>
      <c r="B95" s="4" t="s">
        <v>29</v>
      </c>
      <c r="C95" s="4" t="s">
        <v>17</v>
      </c>
      <c r="D95" s="4" t="s">
        <v>34</v>
      </c>
      <c r="E95" s="4" t="s">
        <v>35</v>
      </c>
      <c r="F95" s="4">
        <v>19</v>
      </c>
      <c r="G95" s="4">
        <v>26714</v>
      </c>
      <c r="H95" s="4">
        <v>5</v>
      </c>
      <c r="I95" s="5">
        <v>46045</v>
      </c>
      <c r="J95" s="5">
        <v>46055</v>
      </c>
      <c r="K95" s="6" t="s">
        <v>29</v>
      </c>
    </row>
    <row r="96" spans="1:11" ht="15.6" x14ac:dyDescent="0.3">
      <c r="A96" s="3">
        <v>1289</v>
      </c>
      <c r="B96" s="4" t="s">
        <v>26</v>
      </c>
      <c r="C96" s="4" t="s">
        <v>22</v>
      </c>
      <c r="D96" s="4" t="s">
        <v>34</v>
      </c>
      <c r="E96" s="4" t="s">
        <v>45</v>
      </c>
      <c r="F96" s="4">
        <v>19</v>
      </c>
      <c r="G96" s="4">
        <v>25336</v>
      </c>
      <c r="H96" s="4">
        <v>2</v>
      </c>
      <c r="I96" s="5">
        <v>46122</v>
      </c>
      <c r="J96" s="5">
        <v>46130</v>
      </c>
      <c r="K96" s="6" t="s">
        <v>24</v>
      </c>
    </row>
    <row r="97" spans="1:11" ht="15.6" x14ac:dyDescent="0.3">
      <c r="A97" s="3">
        <v>1292</v>
      </c>
      <c r="B97" s="4" t="s">
        <v>54</v>
      </c>
      <c r="C97" s="4" t="s">
        <v>33</v>
      </c>
      <c r="D97" s="4" t="s">
        <v>34</v>
      </c>
      <c r="E97" s="4" t="s">
        <v>61</v>
      </c>
      <c r="F97" s="4">
        <v>11</v>
      </c>
      <c r="G97" s="4">
        <v>25158</v>
      </c>
      <c r="H97" s="4">
        <v>5</v>
      </c>
      <c r="I97" s="5">
        <v>46186</v>
      </c>
      <c r="J97" s="5">
        <v>46193</v>
      </c>
      <c r="K97" s="6" t="s">
        <v>20</v>
      </c>
    </row>
    <row r="98" spans="1:11" ht="15.6" x14ac:dyDescent="0.3">
      <c r="A98" s="3">
        <v>1164</v>
      </c>
      <c r="B98" s="4" t="s">
        <v>40</v>
      </c>
      <c r="C98" s="4" t="s">
        <v>43</v>
      </c>
      <c r="D98" s="4" t="s">
        <v>34</v>
      </c>
      <c r="E98" s="4" t="s">
        <v>61</v>
      </c>
      <c r="F98" s="4">
        <v>7</v>
      </c>
      <c r="G98" s="4">
        <v>24615</v>
      </c>
      <c r="H98" s="4">
        <v>12</v>
      </c>
      <c r="I98" s="5">
        <v>46196</v>
      </c>
      <c r="J98" s="5">
        <v>46203</v>
      </c>
      <c r="K98" s="6" t="s">
        <v>51</v>
      </c>
    </row>
    <row r="99" spans="1:11" ht="15.6" x14ac:dyDescent="0.3">
      <c r="A99" s="3">
        <v>1297</v>
      </c>
      <c r="B99" s="4" t="s">
        <v>54</v>
      </c>
      <c r="C99" s="4" t="s">
        <v>25</v>
      </c>
      <c r="D99" s="4" t="s">
        <v>34</v>
      </c>
      <c r="E99" s="4" t="s">
        <v>35</v>
      </c>
      <c r="F99" s="4">
        <v>14</v>
      </c>
      <c r="G99" s="4">
        <v>24524</v>
      </c>
      <c r="H99" s="4">
        <v>10</v>
      </c>
      <c r="I99" s="5">
        <v>46178</v>
      </c>
      <c r="J99" s="5">
        <v>46187</v>
      </c>
      <c r="K99" s="6" t="s">
        <v>29</v>
      </c>
    </row>
    <row r="100" spans="1:11" ht="15.6" x14ac:dyDescent="0.3">
      <c r="A100" s="3">
        <v>1078</v>
      </c>
      <c r="B100" s="4" t="s">
        <v>52</v>
      </c>
      <c r="C100" s="4" t="s">
        <v>17</v>
      </c>
      <c r="D100" s="4" t="s">
        <v>34</v>
      </c>
      <c r="E100" s="4" t="s">
        <v>39</v>
      </c>
      <c r="F100" s="4">
        <v>11</v>
      </c>
      <c r="G100" s="4">
        <v>24278</v>
      </c>
      <c r="H100" s="4">
        <v>12</v>
      </c>
      <c r="I100" s="5">
        <v>46084</v>
      </c>
      <c r="J100" s="5">
        <v>46090</v>
      </c>
      <c r="K100" s="6" t="s">
        <v>29</v>
      </c>
    </row>
    <row r="101" spans="1:11" ht="15.6" x14ac:dyDescent="0.3">
      <c r="A101" s="3">
        <v>1392</v>
      </c>
      <c r="B101" s="4" t="s">
        <v>29</v>
      </c>
      <c r="C101" s="4" t="s">
        <v>43</v>
      </c>
      <c r="D101" s="4" t="s">
        <v>34</v>
      </c>
      <c r="E101" s="4" t="s">
        <v>35</v>
      </c>
      <c r="F101" s="4">
        <v>13</v>
      </c>
      <c r="G101" s="4">
        <v>23903</v>
      </c>
      <c r="H101" s="4">
        <v>5</v>
      </c>
      <c r="I101" s="5">
        <v>46124</v>
      </c>
      <c r="J101" s="5">
        <v>46125</v>
      </c>
      <c r="K101" s="6" t="s">
        <v>29</v>
      </c>
    </row>
    <row r="102" spans="1:11" ht="15.6" x14ac:dyDescent="0.3">
      <c r="A102" s="3">
        <v>1092</v>
      </c>
      <c r="B102" s="4" t="s">
        <v>21</v>
      </c>
      <c r="C102" s="4" t="s">
        <v>22</v>
      </c>
      <c r="D102" s="4" t="s">
        <v>34</v>
      </c>
      <c r="E102" s="4" t="s">
        <v>41</v>
      </c>
      <c r="F102" s="4">
        <v>9</v>
      </c>
      <c r="G102" s="4">
        <v>23438</v>
      </c>
      <c r="H102" s="4">
        <v>2</v>
      </c>
      <c r="I102" s="5">
        <v>46049</v>
      </c>
      <c r="J102" s="5">
        <v>46055</v>
      </c>
      <c r="K102" s="6" t="s">
        <v>29</v>
      </c>
    </row>
    <row r="103" spans="1:11" ht="15.6" x14ac:dyDescent="0.3">
      <c r="A103" s="3">
        <v>1149</v>
      </c>
      <c r="B103" s="4" t="s">
        <v>26</v>
      </c>
      <c r="C103" s="4" t="s">
        <v>38</v>
      </c>
      <c r="D103" s="4" t="s">
        <v>34</v>
      </c>
      <c r="E103" s="4" t="s">
        <v>35</v>
      </c>
      <c r="F103" s="4">
        <v>10</v>
      </c>
      <c r="G103" s="4">
        <v>22853</v>
      </c>
      <c r="H103" s="4">
        <v>7</v>
      </c>
      <c r="I103" s="5">
        <v>46053</v>
      </c>
      <c r="J103" s="5">
        <v>46054</v>
      </c>
      <c r="K103" s="6" t="s">
        <v>29</v>
      </c>
    </row>
    <row r="104" spans="1:11" ht="15.6" x14ac:dyDescent="0.3">
      <c r="A104" s="3">
        <v>1378</v>
      </c>
      <c r="B104" s="4" t="s">
        <v>55</v>
      </c>
      <c r="C104" s="4" t="s">
        <v>22</v>
      </c>
      <c r="D104" s="4" t="s">
        <v>34</v>
      </c>
      <c r="E104" s="4" t="s">
        <v>45</v>
      </c>
      <c r="F104" s="4">
        <v>15</v>
      </c>
      <c r="G104" s="4">
        <v>22693</v>
      </c>
      <c r="H104" s="4">
        <v>12</v>
      </c>
      <c r="I104" s="5">
        <v>46074</v>
      </c>
      <c r="J104" s="5">
        <v>46080</v>
      </c>
      <c r="K104" s="6" t="s">
        <v>51</v>
      </c>
    </row>
    <row r="105" spans="1:11" ht="15.6" x14ac:dyDescent="0.3">
      <c r="A105" s="3">
        <v>1226</v>
      </c>
      <c r="B105" s="4" t="s">
        <v>29</v>
      </c>
      <c r="C105" s="4" t="s">
        <v>31</v>
      </c>
      <c r="D105" s="4" t="s">
        <v>34</v>
      </c>
      <c r="E105" s="4" t="s">
        <v>41</v>
      </c>
      <c r="F105" s="4">
        <v>13</v>
      </c>
      <c r="G105" s="4">
        <v>21332</v>
      </c>
      <c r="H105" s="4">
        <v>0</v>
      </c>
      <c r="I105" s="5">
        <v>46044</v>
      </c>
      <c r="J105" s="5">
        <v>46048</v>
      </c>
      <c r="K105" s="6" t="s">
        <v>29</v>
      </c>
    </row>
    <row r="106" spans="1:11" ht="15.6" x14ac:dyDescent="0.3">
      <c r="A106" s="3">
        <v>1298</v>
      </c>
      <c r="B106" s="4" t="s">
        <v>21</v>
      </c>
      <c r="C106" s="4" t="s">
        <v>12</v>
      </c>
      <c r="D106" s="4" t="s">
        <v>34</v>
      </c>
      <c r="E106" s="4" t="s">
        <v>61</v>
      </c>
      <c r="F106" s="4">
        <v>19</v>
      </c>
      <c r="G106" s="4">
        <v>20745</v>
      </c>
      <c r="H106" s="4">
        <v>2</v>
      </c>
      <c r="I106" s="5">
        <v>46083</v>
      </c>
      <c r="J106" s="5">
        <v>46093</v>
      </c>
      <c r="K106" s="6" t="s">
        <v>24</v>
      </c>
    </row>
    <row r="107" spans="1:11" ht="15.6" x14ac:dyDescent="0.3">
      <c r="A107" s="3">
        <v>1278</v>
      </c>
      <c r="B107" s="4" t="s">
        <v>47</v>
      </c>
      <c r="C107" s="4" t="s">
        <v>22</v>
      </c>
      <c r="D107" s="4" t="s">
        <v>34</v>
      </c>
      <c r="E107" s="4" t="s">
        <v>61</v>
      </c>
      <c r="F107" s="4">
        <v>4</v>
      </c>
      <c r="G107" s="4">
        <v>20639</v>
      </c>
      <c r="H107" s="4">
        <v>7</v>
      </c>
      <c r="I107" s="5">
        <v>46180</v>
      </c>
      <c r="J107" s="5">
        <v>46186</v>
      </c>
      <c r="K107" s="6" t="s">
        <v>20</v>
      </c>
    </row>
    <row r="108" spans="1:11" ht="15.6" x14ac:dyDescent="0.3">
      <c r="A108" s="3">
        <v>1273</v>
      </c>
      <c r="B108" s="4" t="s">
        <v>46</v>
      </c>
      <c r="C108" s="4" t="s">
        <v>25</v>
      </c>
      <c r="D108" s="4" t="s">
        <v>34</v>
      </c>
      <c r="E108" s="4" t="s">
        <v>39</v>
      </c>
      <c r="F108" s="4">
        <v>12</v>
      </c>
      <c r="G108" s="4">
        <v>20618</v>
      </c>
      <c r="H108" s="4">
        <v>12</v>
      </c>
      <c r="I108" s="5">
        <v>46172</v>
      </c>
      <c r="J108" s="5">
        <v>46174</v>
      </c>
      <c r="K108" s="6" t="s">
        <v>20</v>
      </c>
    </row>
    <row r="109" spans="1:11" ht="15.6" x14ac:dyDescent="0.3">
      <c r="A109" s="3">
        <v>1175</v>
      </c>
      <c r="B109" s="4" t="s">
        <v>26</v>
      </c>
      <c r="C109" s="4" t="s">
        <v>17</v>
      </c>
      <c r="D109" s="4" t="s">
        <v>34</v>
      </c>
      <c r="E109" s="4" t="s">
        <v>41</v>
      </c>
      <c r="F109" s="4">
        <v>10</v>
      </c>
      <c r="G109" s="4">
        <v>20339</v>
      </c>
      <c r="H109" s="4">
        <v>2</v>
      </c>
      <c r="I109" s="5">
        <v>46088</v>
      </c>
      <c r="J109" s="5">
        <v>46094</v>
      </c>
      <c r="K109" s="6" t="s">
        <v>20</v>
      </c>
    </row>
    <row r="110" spans="1:11" ht="15.6" x14ac:dyDescent="0.3">
      <c r="A110" s="3">
        <v>1202</v>
      </c>
      <c r="B110" s="4" t="s">
        <v>57</v>
      </c>
      <c r="C110" s="4" t="s">
        <v>22</v>
      </c>
      <c r="D110" s="4" t="s">
        <v>34</v>
      </c>
      <c r="E110" s="4" t="s">
        <v>35</v>
      </c>
      <c r="F110" s="4">
        <v>2</v>
      </c>
      <c r="G110" s="4">
        <v>20312</v>
      </c>
      <c r="H110" s="4">
        <v>12</v>
      </c>
      <c r="I110" s="5">
        <v>46082</v>
      </c>
      <c r="J110" s="5">
        <v>46091</v>
      </c>
      <c r="K110" s="6" t="s">
        <v>15</v>
      </c>
    </row>
    <row r="111" spans="1:11" ht="15.6" x14ac:dyDescent="0.3">
      <c r="A111" s="3">
        <v>1209</v>
      </c>
      <c r="B111" s="4" t="s">
        <v>48</v>
      </c>
      <c r="C111" s="4" t="s">
        <v>38</v>
      </c>
      <c r="D111" s="4" t="s">
        <v>34</v>
      </c>
      <c r="E111" s="4" t="s">
        <v>35</v>
      </c>
      <c r="F111" s="4">
        <v>19</v>
      </c>
      <c r="G111" s="4">
        <v>20284</v>
      </c>
      <c r="H111" s="4">
        <v>10</v>
      </c>
      <c r="I111" s="5">
        <v>46103</v>
      </c>
      <c r="J111" s="5">
        <v>46110</v>
      </c>
      <c r="K111" s="6" t="s">
        <v>20</v>
      </c>
    </row>
    <row r="112" spans="1:11" ht="15.6" x14ac:dyDescent="0.3">
      <c r="A112" s="3">
        <v>1046</v>
      </c>
      <c r="B112" s="4" t="s">
        <v>57</v>
      </c>
      <c r="C112" s="4" t="s">
        <v>38</v>
      </c>
      <c r="D112" s="4" t="s">
        <v>34</v>
      </c>
      <c r="E112" s="4" t="s">
        <v>45</v>
      </c>
      <c r="F112" s="4">
        <v>3</v>
      </c>
      <c r="G112" s="4">
        <v>19443</v>
      </c>
      <c r="H112" s="4">
        <v>10</v>
      </c>
      <c r="I112" s="5">
        <v>46153</v>
      </c>
      <c r="J112" s="5">
        <v>46158</v>
      </c>
      <c r="K112" s="6" t="s">
        <v>29</v>
      </c>
    </row>
    <row r="113" spans="1:11" ht="15.6" x14ac:dyDescent="0.3">
      <c r="A113" s="3">
        <v>1126</v>
      </c>
      <c r="B113" s="4" t="s">
        <v>46</v>
      </c>
      <c r="C113" s="4" t="s">
        <v>22</v>
      </c>
      <c r="D113" s="4" t="s">
        <v>34</v>
      </c>
      <c r="E113" s="4" t="s">
        <v>39</v>
      </c>
      <c r="F113" s="4">
        <v>17</v>
      </c>
      <c r="G113" s="4">
        <v>19390</v>
      </c>
      <c r="H113" s="4">
        <v>12</v>
      </c>
      <c r="I113" s="5">
        <v>46201</v>
      </c>
      <c r="J113" s="5">
        <v>46206</v>
      </c>
      <c r="K113" s="6" t="s">
        <v>29</v>
      </c>
    </row>
    <row r="114" spans="1:11" ht="15.6" x14ac:dyDescent="0.3">
      <c r="A114" s="3">
        <v>1224</v>
      </c>
      <c r="B114" s="4" t="s">
        <v>30</v>
      </c>
      <c r="C114" s="4" t="s">
        <v>38</v>
      </c>
      <c r="D114" s="4" t="s">
        <v>34</v>
      </c>
      <c r="E114" s="4" t="s">
        <v>45</v>
      </c>
      <c r="F114" s="4">
        <v>16</v>
      </c>
      <c r="G114" s="4">
        <v>18378</v>
      </c>
      <c r="H114" s="4">
        <v>10</v>
      </c>
      <c r="I114" s="5">
        <v>46045</v>
      </c>
      <c r="J114" s="5">
        <v>46052</v>
      </c>
      <c r="K114" s="6" t="s">
        <v>24</v>
      </c>
    </row>
    <row r="115" spans="1:11" ht="15.6" x14ac:dyDescent="0.3">
      <c r="A115" s="3">
        <v>1228</v>
      </c>
      <c r="B115" s="4" t="s">
        <v>29</v>
      </c>
      <c r="C115" s="4" t="s">
        <v>25</v>
      </c>
      <c r="D115" s="4" t="s">
        <v>34</v>
      </c>
      <c r="E115" s="4" t="s">
        <v>45</v>
      </c>
      <c r="F115" s="4">
        <v>16</v>
      </c>
      <c r="G115" s="4">
        <v>17477</v>
      </c>
      <c r="H115" s="4">
        <v>10</v>
      </c>
      <c r="I115" s="5">
        <v>46041</v>
      </c>
      <c r="J115" s="5">
        <v>46043</v>
      </c>
      <c r="K115" s="6" t="s">
        <v>24</v>
      </c>
    </row>
    <row r="116" spans="1:11" ht="15.6" x14ac:dyDescent="0.3">
      <c r="A116" s="3">
        <v>1089</v>
      </c>
      <c r="B116" s="4" t="s">
        <v>46</v>
      </c>
      <c r="C116" s="4" t="s">
        <v>12</v>
      </c>
      <c r="D116" s="4" t="s">
        <v>34</v>
      </c>
      <c r="E116" s="4" t="s">
        <v>35</v>
      </c>
      <c r="F116" s="4">
        <v>10</v>
      </c>
      <c r="G116" s="4">
        <v>17041</v>
      </c>
      <c r="H116" s="4">
        <v>2</v>
      </c>
      <c r="I116" s="5">
        <v>46066</v>
      </c>
      <c r="J116" s="5">
        <v>46071</v>
      </c>
      <c r="K116" s="6" t="s">
        <v>24</v>
      </c>
    </row>
    <row r="117" spans="1:11" ht="15.6" x14ac:dyDescent="0.3">
      <c r="A117" s="3">
        <v>1338</v>
      </c>
      <c r="B117" s="4" t="s">
        <v>59</v>
      </c>
      <c r="C117" s="4" t="s">
        <v>25</v>
      </c>
      <c r="D117" s="4" t="s">
        <v>34</v>
      </c>
      <c r="E117" s="4" t="s">
        <v>60</v>
      </c>
      <c r="F117" s="4">
        <v>10</v>
      </c>
      <c r="G117" s="4">
        <v>16719</v>
      </c>
      <c r="H117" s="4">
        <v>5</v>
      </c>
      <c r="I117" s="5">
        <v>46177</v>
      </c>
      <c r="J117" s="5">
        <v>46179</v>
      </c>
      <c r="K117" s="6" t="s">
        <v>15</v>
      </c>
    </row>
    <row r="118" spans="1:11" ht="15.6" x14ac:dyDescent="0.3">
      <c r="A118" s="3">
        <v>1185</v>
      </c>
      <c r="B118" s="4" t="s">
        <v>58</v>
      </c>
      <c r="C118" s="4" t="s">
        <v>22</v>
      </c>
      <c r="D118" s="4" t="s">
        <v>34</v>
      </c>
      <c r="E118" s="4" t="s">
        <v>60</v>
      </c>
      <c r="F118" s="4">
        <v>16</v>
      </c>
      <c r="G118" s="4">
        <v>15536</v>
      </c>
      <c r="H118" s="4">
        <v>2</v>
      </c>
      <c r="I118" s="5">
        <v>46153</v>
      </c>
      <c r="J118" s="5">
        <v>46156</v>
      </c>
      <c r="K118" s="6" t="s">
        <v>15</v>
      </c>
    </row>
    <row r="119" spans="1:11" ht="15.6" x14ac:dyDescent="0.3">
      <c r="A119" s="3">
        <v>1186</v>
      </c>
      <c r="B119" s="4" t="s">
        <v>16</v>
      </c>
      <c r="C119" s="4" t="s">
        <v>25</v>
      </c>
      <c r="D119" s="4" t="s">
        <v>18</v>
      </c>
      <c r="E119" s="4" t="s">
        <v>44</v>
      </c>
      <c r="F119" s="4">
        <v>10</v>
      </c>
      <c r="G119" s="4">
        <v>14951</v>
      </c>
      <c r="H119" s="4">
        <v>2</v>
      </c>
      <c r="I119" s="5">
        <v>46188</v>
      </c>
      <c r="J119" s="5">
        <v>46196</v>
      </c>
      <c r="K119" s="6" t="s">
        <v>24</v>
      </c>
    </row>
    <row r="120" spans="1:11" ht="15.6" x14ac:dyDescent="0.3">
      <c r="A120" s="3">
        <v>1354</v>
      </c>
      <c r="B120" s="4" t="s">
        <v>47</v>
      </c>
      <c r="C120" s="4" t="s">
        <v>43</v>
      </c>
      <c r="D120" s="4" t="s">
        <v>34</v>
      </c>
      <c r="E120" s="4" t="s">
        <v>35</v>
      </c>
      <c r="F120" s="4">
        <v>15</v>
      </c>
      <c r="G120" s="4">
        <v>14927</v>
      </c>
      <c r="H120" s="4">
        <v>15</v>
      </c>
      <c r="I120" s="5">
        <v>46118</v>
      </c>
      <c r="J120" s="5">
        <v>46120</v>
      </c>
      <c r="K120" s="6" t="s">
        <v>51</v>
      </c>
    </row>
    <row r="121" spans="1:11" ht="15.6" x14ac:dyDescent="0.3">
      <c r="A121" s="3">
        <v>1044</v>
      </c>
      <c r="B121" s="4" t="s">
        <v>48</v>
      </c>
      <c r="C121" s="4" t="s">
        <v>38</v>
      </c>
      <c r="D121" s="4" t="s">
        <v>18</v>
      </c>
      <c r="E121" s="4" t="s">
        <v>19</v>
      </c>
      <c r="F121" s="4">
        <v>4</v>
      </c>
      <c r="G121" s="4">
        <v>14731</v>
      </c>
      <c r="H121" s="4">
        <v>2</v>
      </c>
      <c r="I121" s="5">
        <v>46173</v>
      </c>
      <c r="J121" s="5">
        <v>46176</v>
      </c>
      <c r="K121" s="6" t="s">
        <v>20</v>
      </c>
    </row>
    <row r="122" spans="1:11" ht="15.6" x14ac:dyDescent="0.3">
      <c r="A122" s="3">
        <v>1096</v>
      </c>
      <c r="B122" s="4" t="s">
        <v>49</v>
      </c>
      <c r="C122" s="4" t="s">
        <v>17</v>
      </c>
      <c r="D122" s="4" t="s">
        <v>18</v>
      </c>
      <c r="E122" s="4" t="s">
        <v>23</v>
      </c>
      <c r="F122" s="4">
        <v>15</v>
      </c>
      <c r="G122" s="4">
        <v>14724</v>
      </c>
      <c r="H122" s="4">
        <v>15</v>
      </c>
      <c r="I122" s="5">
        <v>46054</v>
      </c>
      <c r="J122" s="5">
        <v>46061</v>
      </c>
      <c r="K122" s="6" t="s">
        <v>20</v>
      </c>
    </row>
    <row r="123" spans="1:11" ht="15.6" x14ac:dyDescent="0.3">
      <c r="A123" s="3">
        <v>1068</v>
      </c>
      <c r="B123" s="4" t="s">
        <v>52</v>
      </c>
      <c r="C123" s="4" t="s">
        <v>43</v>
      </c>
      <c r="D123" s="4" t="s">
        <v>34</v>
      </c>
      <c r="E123" s="4" t="s">
        <v>60</v>
      </c>
      <c r="F123" s="4">
        <v>15</v>
      </c>
      <c r="G123" s="4">
        <v>14534</v>
      </c>
      <c r="H123" s="4">
        <v>5</v>
      </c>
      <c r="I123" s="5">
        <v>46196</v>
      </c>
      <c r="J123" s="5">
        <v>46199</v>
      </c>
      <c r="K123" s="6" t="s">
        <v>29</v>
      </c>
    </row>
    <row r="124" spans="1:11" ht="15.6" x14ac:dyDescent="0.3">
      <c r="A124" s="3">
        <v>1136</v>
      </c>
      <c r="B124" s="4" t="s">
        <v>27</v>
      </c>
      <c r="C124" s="4" t="s">
        <v>43</v>
      </c>
      <c r="D124" s="4" t="s">
        <v>18</v>
      </c>
      <c r="E124" s="4" t="s">
        <v>56</v>
      </c>
      <c r="F124" s="4">
        <v>19</v>
      </c>
      <c r="G124" s="4">
        <v>14528</v>
      </c>
      <c r="H124" s="4">
        <v>12</v>
      </c>
      <c r="I124" s="5">
        <v>46056</v>
      </c>
      <c r="J124" s="5">
        <v>46062</v>
      </c>
      <c r="K124" s="6" t="s">
        <v>24</v>
      </c>
    </row>
    <row r="125" spans="1:11" ht="15.6" x14ac:dyDescent="0.3">
      <c r="A125" s="3">
        <v>1015</v>
      </c>
      <c r="B125" s="4" t="s">
        <v>42</v>
      </c>
      <c r="C125" s="4" t="s">
        <v>43</v>
      </c>
      <c r="D125" s="4" t="s">
        <v>18</v>
      </c>
      <c r="E125" s="4" t="s">
        <v>44</v>
      </c>
      <c r="F125" s="4">
        <v>11</v>
      </c>
      <c r="G125" s="4">
        <v>14511</v>
      </c>
      <c r="H125" s="4">
        <v>2</v>
      </c>
      <c r="I125" s="5">
        <v>46175</v>
      </c>
      <c r="J125" s="5">
        <v>46185</v>
      </c>
      <c r="K125" s="6" t="s">
        <v>20</v>
      </c>
    </row>
    <row r="126" spans="1:11" ht="15.6" x14ac:dyDescent="0.3">
      <c r="A126" s="3">
        <v>1138</v>
      </c>
      <c r="B126" s="4" t="s">
        <v>55</v>
      </c>
      <c r="C126" s="4" t="s">
        <v>43</v>
      </c>
      <c r="D126" s="4" t="s">
        <v>18</v>
      </c>
      <c r="E126" s="4" t="s">
        <v>19</v>
      </c>
      <c r="F126" s="4">
        <v>5</v>
      </c>
      <c r="G126" s="4">
        <v>14466</v>
      </c>
      <c r="H126" s="4">
        <v>2</v>
      </c>
      <c r="I126" s="5">
        <v>46084</v>
      </c>
      <c r="J126" s="5">
        <v>46092</v>
      </c>
      <c r="K126" s="6" t="s">
        <v>51</v>
      </c>
    </row>
    <row r="127" spans="1:11" ht="15.6" x14ac:dyDescent="0.3">
      <c r="A127" s="3">
        <v>1294</v>
      </c>
      <c r="B127" s="4" t="s">
        <v>21</v>
      </c>
      <c r="C127" s="4" t="s">
        <v>12</v>
      </c>
      <c r="D127" s="4" t="s">
        <v>18</v>
      </c>
      <c r="E127" s="4" t="s">
        <v>19</v>
      </c>
      <c r="F127" s="4">
        <v>8</v>
      </c>
      <c r="G127" s="4">
        <v>14448</v>
      </c>
      <c r="H127" s="4">
        <v>10</v>
      </c>
      <c r="I127" s="5">
        <v>46181</v>
      </c>
      <c r="J127" s="5">
        <v>46189</v>
      </c>
      <c r="K127" s="6" t="s">
        <v>15</v>
      </c>
    </row>
    <row r="128" spans="1:11" ht="15.6" x14ac:dyDescent="0.3">
      <c r="A128" s="3">
        <v>1037</v>
      </c>
      <c r="B128" s="4" t="s">
        <v>46</v>
      </c>
      <c r="C128" s="4" t="s">
        <v>43</v>
      </c>
      <c r="D128" s="4" t="s">
        <v>18</v>
      </c>
      <c r="E128" s="4" t="s">
        <v>56</v>
      </c>
      <c r="F128" s="4">
        <v>6</v>
      </c>
      <c r="G128" s="4">
        <v>14385</v>
      </c>
      <c r="H128" s="4">
        <v>12</v>
      </c>
      <c r="I128" s="5">
        <v>46033</v>
      </c>
      <c r="J128" s="5">
        <v>46043</v>
      </c>
      <c r="K128" s="6" t="s">
        <v>24</v>
      </c>
    </row>
    <row r="129" spans="1:11" ht="15.6" x14ac:dyDescent="0.3">
      <c r="A129" s="3">
        <v>1234</v>
      </c>
      <c r="B129" s="4" t="s">
        <v>11</v>
      </c>
      <c r="C129" s="4" t="s">
        <v>25</v>
      </c>
      <c r="D129" s="4" t="s">
        <v>18</v>
      </c>
      <c r="E129" s="4" t="s">
        <v>28</v>
      </c>
      <c r="F129" s="4">
        <v>1</v>
      </c>
      <c r="G129" s="4">
        <v>14320</v>
      </c>
      <c r="H129" s="4">
        <v>12</v>
      </c>
      <c r="I129" s="5">
        <v>46114</v>
      </c>
      <c r="J129" s="5">
        <v>46121</v>
      </c>
      <c r="K129" s="6" t="s">
        <v>51</v>
      </c>
    </row>
    <row r="130" spans="1:11" ht="15.6" x14ac:dyDescent="0.3">
      <c r="A130" s="3">
        <v>1107</v>
      </c>
      <c r="B130" s="4" t="s">
        <v>52</v>
      </c>
      <c r="C130" s="4" t="s">
        <v>17</v>
      </c>
      <c r="D130" s="4" t="s">
        <v>34</v>
      </c>
      <c r="E130" s="4" t="s">
        <v>60</v>
      </c>
      <c r="F130" s="4">
        <v>4</v>
      </c>
      <c r="G130" s="4">
        <v>14291</v>
      </c>
      <c r="H130" s="4">
        <v>2</v>
      </c>
      <c r="I130" s="5">
        <v>46076</v>
      </c>
      <c r="J130" s="5">
        <v>46078</v>
      </c>
      <c r="K130" s="6" t="s">
        <v>15</v>
      </c>
    </row>
    <row r="131" spans="1:11" ht="15.6" x14ac:dyDescent="0.3">
      <c r="A131" s="3">
        <v>1124</v>
      </c>
      <c r="B131" s="4" t="s">
        <v>27</v>
      </c>
      <c r="C131" s="4" t="s">
        <v>38</v>
      </c>
      <c r="D131" s="4" t="s">
        <v>18</v>
      </c>
      <c r="E131" s="4" t="s">
        <v>56</v>
      </c>
      <c r="F131" s="4">
        <v>4</v>
      </c>
      <c r="G131" s="4">
        <v>14195</v>
      </c>
      <c r="H131" s="4">
        <v>15</v>
      </c>
      <c r="I131" s="5">
        <v>46182</v>
      </c>
      <c r="J131" s="5">
        <v>46189</v>
      </c>
      <c r="K131" s="6" t="s">
        <v>51</v>
      </c>
    </row>
    <row r="132" spans="1:11" ht="15.6" x14ac:dyDescent="0.3">
      <c r="A132" s="3">
        <v>1159</v>
      </c>
      <c r="B132" s="4" t="s">
        <v>32</v>
      </c>
      <c r="C132" s="4" t="s">
        <v>43</v>
      </c>
      <c r="D132" s="4" t="s">
        <v>18</v>
      </c>
      <c r="E132" s="4" t="s">
        <v>28</v>
      </c>
      <c r="F132" s="4">
        <v>20</v>
      </c>
      <c r="G132" s="4">
        <v>14000</v>
      </c>
      <c r="H132" s="4">
        <v>15</v>
      </c>
      <c r="I132" s="5">
        <v>46184</v>
      </c>
      <c r="J132" s="5">
        <v>46187</v>
      </c>
      <c r="K132" s="6" t="s">
        <v>15</v>
      </c>
    </row>
    <row r="133" spans="1:11" ht="15.6" x14ac:dyDescent="0.3">
      <c r="A133" s="3">
        <v>1233</v>
      </c>
      <c r="B133" s="4" t="s">
        <v>58</v>
      </c>
      <c r="C133" s="4" t="s">
        <v>22</v>
      </c>
      <c r="D133" s="4" t="s">
        <v>18</v>
      </c>
      <c r="E133" s="4" t="s">
        <v>19</v>
      </c>
      <c r="F133" s="4">
        <v>20</v>
      </c>
      <c r="G133" s="4">
        <v>13941</v>
      </c>
      <c r="H133" s="4">
        <v>15</v>
      </c>
      <c r="I133" s="5">
        <v>46198</v>
      </c>
      <c r="J133" s="5">
        <v>46202</v>
      </c>
      <c r="K133" s="6" t="s">
        <v>24</v>
      </c>
    </row>
    <row r="134" spans="1:11" ht="15.6" x14ac:dyDescent="0.3">
      <c r="A134" s="3">
        <v>1108</v>
      </c>
      <c r="B134" s="4" t="s">
        <v>42</v>
      </c>
      <c r="C134" s="4" t="s">
        <v>33</v>
      </c>
      <c r="D134" s="4" t="s">
        <v>18</v>
      </c>
      <c r="E134" s="4" t="s">
        <v>28</v>
      </c>
      <c r="F134" s="4">
        <v>15</v>
      </c>
      <c r="G134" s="4">
        <v>13843</v>
      </c>
      <c r="H134" s="4">
        <v>7</v>
      </c>
      <c r="I134" s="5">
        <v>46119</v>
      </c>
      <c r="J134" s="5">
        <v>46127</v>
      </c>
      <c r="K134" s="6" t="s">
        <v>20</v>
      </c>
    </row>
    <row r="135" spans="1:11" ht="15.6" x14ac:dyDescent="0.3">
      <c r="A135" s="3">
        <v>1214</v>
      </c>
      <c r="B135" s="4" t="s">
        <v>42</v>
      </c>
      <c r="C135" s="4" t="s">
        <v>25</v>
      </c>
      <c r="D135" s="4" t="s">
        <v>18</v>
      </c>
      <c r="E135" s="4" t="s">
        <v>28</v>
      </c>
      <c r="F135" s="4">
        <v>19</v>
      </c>
      <c r="G135" s="4">
        <v>13832</v>
      </c>
      <c r="H135" s="4">
        <v>0</v>
      </c>
      <c r="I135" s="5">
        <v>46140</v>
      </c>
      <c r="J135" s="5">
        <v>46145</v>
      </c>
      <c r="K135" s="6" t="s">
        <v>51</v>
      </c>
    </row>
    <row r="136" spans="1:11" ht="15.6" x14ac:dyDescent="0.3">
      <c r="A136" s="3">
        <v>1276</v>
      </c>
      <c r="B136" s="4" t="s">
        <v>40</v>
      </c>
      <c r="C136" s="4" t="s">
        <v>12</v>
      </c>
      <c r="D136" s="4" t="s">
        <v>18</v>
      </c>
      <c r="E136" s="4" t="s">
        <v>19</v>
      </c>
      <c r="F136" s="4">
        <v>1</v>
      </c>
      <c r="G136" s="4">
        <v>13437</v>
      </c>
      <c r="H136" s="4">
        <v>15</v>
      </c>
      <c r="I136" s="5">
        <v>46097</v>
      </c>
      <c r="J136" s="5">
        <v>46099</v>
      </c>
      <c r="K136" s="6" t="s">
        <v>24</v>
      </c>
    </row>
    <row r="137" spans="1:11" ht="15.6" x14ac:dyDescent="0.3">
      <c r="A137" s="3">
        <v>1232</v>
      </c>
      <c r="B137" s="4" t="s">
        <v>21</v>
      </c>
      <c r="C137" s="4" t="s">
        <v>12</v>
      </c>
      <c r="D137" s="4" t="s">
        <v>34</v>
      </c>
      <c r="E137" s="4" t="s">
        <v>60</v>
      </c>
      <c r="F137" s="4">
        <v>3</v>
      </c>
      <c r="G137" s="4">
        <v>13272</v>
      </c>
      <c r="H137" s="4">
        <v>2</v>
      </c>
      <c r="I137" s="5">
        <v>46060</v>
      </c>
      <c r="J137" s="5">
        <v>46065</v>
      </c>
      <c r="K137" s="6" t="s">
        <v>15</v>
      </c>
    </row>
    <row r="138" spans="1:11" ht="15.6" x14ac:dyDescent="0.3">
      <c r="A138" s="3">
        <v>1194</v>
      </c>
      <c r="B138" s="4" t="s">
        <v>57</v>
      </c>
      <c r="C138" s="4" t="s">
        <v>43</v>
      </c>
      <c r="D138" s="4" t="s">
        <v>18</v>
      </c>
      <c r="E138" s="4" t="s">
        <v>28</v>
      </c>
      <c r="F138" s="4">
        <v>13</v>
      </c>
      <c r="G138" s="4">
        <v>12856</v>
      </c>
      <c r="H138" s="4">
        <v>15</v>
      </c>
      <c r="I138" s="5">
        <v>46129</v>
      </c>
      <c r="J138" s="5">
        <v>46133</v>
      </c>
      <c r="K138" s="6" t="s">
        <v>51</v>
      </c>
    </row>
    <row r="139" spans="1:11" ht="15.6" x14ac:dyDescent="0.3">
      <c r="A139" s="3">
        <v>1104</v>
      </c>
      <c r="B139" s="4" t="s">
        <v>16</v>
      </c>
      <c r="C139" s="4" t="s">
        <v>43</v>
      </c>
      <c r="D139" s="4" t="s">
        <v>18</v>
      </c>
      <c r="E139" s="4" t="s">
        <v>19</v>
      </c>
      <c r="F139" s="4">
        <v>10</v>
      </c>
      <c r="G139" s="4">
        <v>12848</v>
      </c>
      <c r="H139" s="4">
        <v>15</v>
      </c>
      <c r="I139" s="5">
        <v>46060</v>
      </c>
      <c r="J139" s="5">
        <v>46064</v>
      </c>
      <c r="K139" s="6" t="s">
        <v>29</v>
      </c>
    </row>
    <row r="140" spans="1:11" ht="15.6" x14ac:dyDescent="0.3">
      <c r="A140" s="3">
        <v>1116</v>
      </c>
      <c r="B140" s="4" t="s">
        <v>16</v>
      </c>
      <c r="C140" s="4" t="s">
        <v>25</v>
      </c>
      <c r="D140" s="4" t="s">
        <v>18</v>
      </c>
      <c r="E140" s="4" t="s">
        <v>56</v>
      </c>
      <c r="F140" s="4">
        <v>2</v>
      </c>
      <c r="G140" s="4">
        <v>12692</v>
      </c>
      <c r="H140" s="4">
        <v>15</v>
      </c>
      <c r="I140" s="5">
        <v>46049</v>
      </c>
      <c r="J140" s="5">
        <v>46051</v>
      </c>
      <c r="K140" s="6" t="s">
        <v>15</v>
      </c>
    </row>
    <row r="141" spans="1:11" ht="15.6" x14ac:dyDescent="0.3">
      <c r="A141" s="3">
        <v>1310</v>
      </c>
      <c r="B141" s="4" t="s">
        <v>49</v>
      </c>
      <c r="C141" s="4" t="s">
        <v>17</v>
      </c>
      <c r="D141" s="4" t="s">
        <v>18</v>
      </c>
      <c r="E141" s="4" t="s">
        <v>56</v>
      </c>
      <c r="F141" s="4">
        <v>19</v>
      </c>
      <c r="G141" s="4">
        <v>12691</v>
      </c>
      <c r="H141" s="4">
        <v>0</v>
      </c>
      <c r="I141" s="5">
        <v>46181</v>
      </c>
      <c r="J141" s="5">
        <v>46189</v>
      </c>
      <c r="K141" s="6" t="s">
        <v>29</v>
      </c>
    </row>
    <row r="142" spans="1:11" ht="15.6" x14ac:dyDescent="0.3">
      <c r="A142" s="3">
        <v>1241</v>
      </c>
      <c r="B142" s="4" t="s">
        <v>46</v>
      </c>
      <c r="C142" s="4" t="s">
        <v>31</v>
      </c>
      <c r="D142" s="4" t="s">
        <v>18</v>
      </c>
      <c r="E142" s="4" t="s">
        <v>44</v>
      </c>
      <c r="F142" s="4">
        <v>1</v>
      </c>
      <c r="G142" s="4">
        <v>12537</v>
      </c>
      <c r="H142" s="4">
        <v>0</v>
      </c>
      <c r="I142" s="5">
        <v>46119</v>
      </c>
      <c r="J142" s="5">
        <v>46122</v>
      </c>
      <c r="K142" s="6" t="s">
        <v>15</v>
      </c>
    </row>
    <row r="143" spans="1:11" ht="15.6" x14ac:dyDescent="0.3">
      <c r="A143" s="3">
        <v>1158</v>
      </c>
      <c r="B143" s="4" t="s">
        <v>26</v>
      </c>
      <c r="C143" s="4" t="s">
        <v>38</v>
      </c>
      <c r="D143" s="4" t="s">
        <v>34</v>
      </c>
      <c r="E143" s="4" t="s">
        <v>41</v>
      </c>
      <c r="F143" s="4">
        <v>13</v>
      </c>
      <c r="G143" s="4">
        <v>12518</v>
      </c>
      <c r="H143" s="4">
        <v>2</v>
      </c>
      <c r="I143" s="5">
        <v>46079</v>
      </c>
      <c r="J143" s="5">
        <v>46082</v>
      </c>
      <c r="K143" s="6" t="s">
        <v>51</v>
      </c>
    </row>
    <row r="144" spans="1:11" ht="15.6" x14ac:dyDescent="0.3">
      <c r="A144" s="3">
        <v>1239</v>
      </c>
      <c r="B144" s="4" t="s">
        <v>48</v>
      </c>
      <c r="C144" s="4" t="s">
        <v>17</v>
      </c>
      <c r="D144" s="4" t="s">
        <v>18</v>
      </c>
      <c r="E144" s="4" t="s">
        <v>56</v>
      </c>
      <c r="F144" s="4">
        <v>2</v>
      </c>
      <c r="G144" s="4">
        <v>12330</v>
      </c>
      <c r="H144" s="4">
        <v>12</v>
      </c>
      <c r="I144" s="5">
        <v>46122</v>
      </c>
      <c r="J144" s="5">
        <v>46125</v>
      </c>
      <c r="K144" s="6" t="s">
        <v>15</v>
      </c>
    </row>
    <row r="145" spans="1:11" ht="15.6" x14ac:dyDescent="0.3">
      <c r="A145" s="3">
        <v>1237</v>
      </c>
      <c r="B145" s="4" t="s">
        <v>46</v>
      </c>
      <c r="C145" s="4" t="s">
        <v>38</v>
      </c>
      <c r="D145" s="4" t="s">
        <v>18</v>
      </c>
      <c r="E145" s="4" t="s">
        <v>56</v>
      </c>
      <c r="F145" s="4">
        <v>8</v>
      </c>
      <c r="G145" s="4">
        <v>12123</v>
      </c>
      <c r="H145" s="4">
        <v>2</v>
      </c>
      <c r="I145" s="5">
        <v>46137</v>
      </c>
      <c r="J145" s="5">
        <v>46145</v>
      </c>
      <c r="K145" s="6" t="s">
        <v>15</v>
      </c>
    </row>
    <row r="146" spans="1:11" ht="15.6" x14ac:dyDescent="0.3">
      <c r="A146" s="3">
        <v>1169</v>
      </c>
      <c r="B146" s="4" t="s">
        <v>47</v>
      </c>
      <c r="C146" s="4" t="s">
        <v>12</v>
      </c>
      <c r="D146" s="4" t="s">
        <v>18</v>
      </c>
      <c r="E146" s="4" t="s">
        <v>56</v>
      </c>
      <c r="F146" s="4">
        <v>12</v>
      </c>
      <c r="G146" s="4">
        <v>12104</v>
      </c>
      <c r="H146" s="4">
        <v>7</v>
      </c>
      <c r="I146" s="5">
        <v>46121</v>
      </c>
      <c r="J146" s="5">
        <v>46130</v>
      </c>
      <c r="K146" s="6" t="s">
        <v>24</v>
      </c>
    </row>
    <row r="147" spans="1:11" ht="15.6" x14ac:dyDescent="0.3">
      <c r="A147" s="3">
        <v>1330</v>
      </c>
      <c r="B147" s="4" t="s">
        <v>49</v>
      </c>
      <c r="C147" s="4" t="s">
        <v>17</v>
      </c>
      <c r="D147" s="4" t="s">
        <v>18</v>
      </c>
      <c r="E147" s="4" t="s">
        <v>19</v>
      </c>
      <c r="F147" s="4">
        <v>13</v>
      </c>
      <c r="G147" s="4">
        <v>12071</v>
      </c>
      <c r="H147" s="4">
        <v>0</v>
      </c>
      <c r="I147" s="5">
        <v>46032</v>
      </c>
      <c r="J147" s="5">
        <v>46036</v>
      </c>
      <c r="K147" s="6" t="s">
        <v>51</v>
      </c>
    </row>
    <row r="148" spans="1:11" ht="15.6" x14ac:dyDescent="0.3">
      <c r="A148" s="3">
        <v>1066</v>
      </c>
      <c r="B148" s="4" t="s">
        <v>47</v>
      </c>
      <c r="C148" s="4" t="s">
        <v>25</v>
      </c>
      <c r="D148" s="4" t="s">
        <v>18</v>
      </c>
      <c r="E148" s="4" t="s">
        <v>44</v>
      </c>
      <c r="F148" s="4">
        <v>15</v>
      </c>
      <c r="G148" s="4">
        <v>11987</v>
      </c>
      <c r="H148" s="4">
        <v>5</v>
      </c>
      <c r="I148" s="5">
        <v>46082</v>
      </c>
      <c r="J148" s="5">
        <v>46083</v>
      </c>
      <c r="K148" s="6" t="s">
        <v>15</v>
      </c>
    </row>
    <row r="149" spans="1:11" ht="15.6" x14ac:dyDescent="0.3">
      <c r="A149" s="3">
        <v>1295</v>
      </c>
      <c r="B149" s="4" t="s">
        <v>52</v>
      </c>
      <c r="C149" s="4" t="s">
        <v>38</v>
      </c>
      <c r="D149" s="4" t="s">
        <v>18</v>
      </c>
      <c r="E149" s="4" t="s">
        <v>28</v>
      </c>
      <c r="F149" s="4">
        <v>16</v>
      </c>
      <c r="G149" s="4">
        <v>11935</v>
      </c>
      <c r="H149" s="4">
        <v>12</v>
      </c>
      <c r="I149" s="5">
        <v>46157</v>
      </c>
      <c r="J149" s="5">
        <v>46162</v>
      </c>
      <c r="K149" s="6" t="s">
        <v>15</v>
      </c>
    </row>
    <row r="150" spans="1:11" ht="15.6" x14ac:dyDescent="0.3">
      <c r="A150" s="3">
        <v>1103</v>
      </c>
      <c r="B150" s="4" t="s">
        <v>16</v>
      </c>
      <c r="C150" s="4" t="s">
        <v>12</v>
      </c>
      <c r="D150" s="4" t="s">
        <v>18</v>
      </c>
      <c r="E150" s="4" t="s">
        <v>23</v>
      </c>
      <c r="F150" s="4">
        <v>7</v>
      </c>
      <c r="G150" s="4">
        <v>11925</v>
      </c>
      <c r="H150" s="4">
        <v>5</v>
      </c>
      <c r="I150" s="5">
        <v>46040</v>
      </c>
      <c r="J150" s="5">
        <v>46041</v>
      </c>
      <c r="K150" s="6" t="s">
        <v>29</v>
      </c>
    </row>
    <row r="151" spans="1:11" ht="15.6" x14ac:dyDescent="0.3">
      <c r="A151" s="3">
        <v>1350</v>
      </c>
      <c r="B151" s="4" t="s">
        <v>26</v>
      </c>
      <c r="C151" s="4" t="s">
        <v>43</v>
      </c>
      <c r="D151" s="4" t="s">
        <v>18</v>
      </c>
      <c r="E151" s="4" t="s">
        <v>28</v>
      </c>
      <c r="F151" s="4">
        <v>16</v>
      </c>
      <c r="G151" s="4">
        <v>11790</v>
      </c>
      <c r="H151" s="4">
        <v>12</v>
      </c>
      <c r="I151" s="5">
        <v>46185</v>
      </c>
      <c r="J151" s="5">
        <v>46190</v>
      </c>
      <c r="K151" s="6" t="s">
        <v>29</v>
      </c>
    </row>
    <row r="152" spans="1:11" ht="15.6" x14ac:dyDescent="0.3">
      <c r="A152" s="3">
        <v>1048</v>
      </c>
      <c r="B152" s="4" t="s">
        <v>59</v>
      </c>
      <c r="C152" s="4" t="s">
        <v>25</v>
      </c>
      <c r="D152" s="4" t="s">
        <v>34</v>
      </c>
      <c r="E152" s="4" t="s">
        <v>60</v>
      </c>
      <c r="F152" s="4">
        <v>14</v>
      </c>
      <c r="G152" s="4">
        <v>11762</v>
      </c>
      <c r="H152" s="4">
        <v>7</v>
      </c>
      <c r="I152" s="5">
        <v>46180</v>
      </c>
      <c r="J152" s="5">
        <v>46186</v>
      </c>
      <c r="K152" s="6" t="s">
        <v>24</v>
      </c>
    </row>
    <row r="153" spans="1:11" ht="15.6" x14ac:dyDescent="0.3">
      <c r="A153" s="3">
        <v>1004</v>
      </c>
      <c r="B153" s="4" t="s">
        <v>16</v>
      </c>
      <c r="C153" s="4" t="s">
        <v>25</v>
      </c>
      <c r="D153" s="4" t="s">
        <v>18</v>
      </c>
      <c r="E153" s="4" t="s">
        <v>23</v>
      </c>
      <c r="F153" s="4">
        <v>16</v>
      </c>
      <c r="G153" s="4">
        <v>11739</v>
      </c>
      <c r="H153" s="4">
        <v>12</v>
      </c>
      <c r="I153" s="5">
        <v>46034</v>
      </c>
      <c r="J153" s="5">
        <v>46040</v>
      </c>
      <c r="K153" s="6" t="s">
        <v>20</v>
      </c>
    </row>
    <row r="154" spans="1:11" ht="15.6" x14ac:dyDescent="0.3">
      <c r="A154" s="3">
        <v>1127</v>
      </c>
      <c r="B154" s="4" t="s">
        <v>26</v>
      </c>
      <c r="C154" s="4" t="s">
        <v>33</v>
      </c>
      <c r="D154" s="4" t="s">
        <v>18</v>
      </c>
      <c r="E154" s="4" t="s">
        <v>28</v>
      </c>
      <c r="F154" s="4">
        <v>15</v>
      </c>
      <c r="G154" s="4">
        <v>11694</v>
      </c>
      <c r="H154" s="4">
        <v>12</v>
      </c>
      <c r="I154" s="5">
        <v>46170</v>
      </c>
      <c r="J154" s="5">
        <v>46179</v>
      </c>
      <c r="K154" s="6" t="s">
        <v>29</v>
      </c>
    </row>
    <row r="155" spans="1:11" ht="15.6" x14ac:dyDescent="0.3">
      <c r="A155" s="3">
        <v>1388</v>
      </c>
      <c r="B155" s="4" t="s">
        <v>55</v>
      </c>
      <c r="C155" s="4" t="s">
        <v>31</v>
      </c>
      <c r="D155" s="4" t="s">
        <v>18</v>
      </c>
      <c r="E155" s="4" t="s">
        <v>28</v>
      </c>
      <c r="F155" s="4">
        <v>12</v>
      </c>
      <c r="G155" s="4">
        <v>11662</v>
      </c>
      <c r="H155" s="4">
        <v>12</v>
      </c>
      <c r="I155" s="5">
        <v>46094</v>
      </c>
      <c r="J155" s="5">
        <v>46096</v>
      </c>
      <c r="K155" s="6" t="s">
        <v>20</v>
      </c>
    </row>
    <row r="156" spans="1:11" ht="15.6" x14ac:dyDescent="0.3">
      <c r="A156" s="3">
        <v>1022</v>
      </c>
      <c r="B156" s="4" t="s">
        <v>26</v>
      </c>
      <c r="C156" s="4" t="s">
        <v>17</v>
      </c>
      <c r="D156" s="4" t="s">
        <v>34</v>
      </c>
      <c r="E156" s="4" t="s">
        <v>45</v>
      </c>
      <c r="F156" s="4">
        <v>15</v>
      </c>
      <c r="G156" s="4">
        <v>11596</v>
      </c>
      <c r="H156" s="4">
        <v>0</v>
      </c>
      <c r="I156" s="5">
        <v>46117</v>
      </c>
      <c r="J156" s="5">
        <v>46121</v>
      </c>
      <c r="K156" s="6" t="s">
        <v>29</v>
      </c>
    </row>
    <row r="157" spans="1:11" ht="15.6" x14ac:dyDescent="0.3">
      <c r="A157" s="3">
        <v>1243</v>
      </c>
      <c r="B157" s="4" t="s">
        <v>30</v>
      </c>
      <c r="C157" s="4" t="s">
        <v>31</v>
      </c>
      <c r="D157" s="4" t="s">
        <v>34</v>
      </c>
      <c r="E157" s="4" t="s">
        <v>41</v>
      </c>
      <c r="F157" s="4">
        <v>5</v>
      </c>
      <c r="G157" s="4">
        <v>11570</v>
      </c>
      <c r="H157" s="4">
        <v>15</v>
      </c>
      <c r="I157" s="5">
        <v>46069</v>
      </c>
      <c r="J157" s="5">
        <v>46077</v>
      </c>
      <c r="K157" s="6" t="s">
        <v>24</v>
      </c>
    </row>
    <row r="158" spans="1:11" ht="15.6" x14ac:dyDescent="0.3">
      <c r="A158" s="3">
        <v>1293</v>
      </c>
      <c r="B158" s="4" t="s">
        <v>49</v>
      </c>
      <c r="C158" s="4" t="s">
        <v>43</v>
      </c>
      <c r="D158" s="4" t="s">
        <v>18</v>
      </c>
      <c r="E158" s="4" t="s">
        <v>23</v>
      </c>
      <c r="F158" s="4">
        <v>7</v>
      </c>
      <c r="G158" s="4">
        <v>11481</v>
      </c>
      <c r="H158" s="4">
        <v>15</v>
      </c>
      <c r="I158" s="5">
        <v>46045</v>
      </c>
      <c r="J158" s="5">
        <v>46050</v>
      </c>
      <c r="K158" s="6" t="s">
        <v>20</v>
      </c>
    </row>
    <row r="159" spans="1:11" ht="15.6" x14ac:dyDescent="0.3">
      <c r="A159" s="3">
        <v>1032</v>
      </c>
      <c r="B159" s="4" t="s">
        <v>54</v>
      </c>
      <c r="C159" s="4" t="s">
        <v>43</v>
      </c>
      <c r="D159" s="4" t="s">
        <v>34</v>
      </c>
      <c r="E159" s="4" t="s">
        <v>39</v>
      </c>
      <c r="F159" s="4">
        <v>20</v>
      </c>
      <c r="G159" s="4">
        <v>11305</v>
      </c>
      <c r="H159" s="4">
        <v>2</v>
      </c>
      <c r="I159" s="5">
        <v>46163</v>
      </c>
      <c r="J159" s="5">
        <v>46165</v>
      </c>
      <c r="K159" s="6" t="s">
        <v>29</v>
      </c>
    </row>
    <row r="160" spans="1:11" ht="15.6" x14ac:dyDescent="0.3">
      <c r="A160" s="3">
        <v>1067</v>
      </c>
      <c r="B160" s="4" t="s">
        <v>32</v>
      </c>
      <c r="C160" s="4" t="s">
        <v>43</v>
      </c>
      <c r="D160" s="4" t="s">
        <v>18</v>
      </c>
      <c r="E160" s="4" t="s">
        <v>56</v>
      </c>
      <c r="F160" s="4">
        <v>14</v>
      </c>
      <c r="G160" s="4">
        <v>10869</v>
      </c>
      <c r="H160" s="4">
        <v>0</v>
      </c>
      <c r="I160" s="5">
        <v>46058</v>
      </c>
      <c r="J160" s="5">
        <v>46062</v>
      </c>
      <c r="K160" s="6" t="s">
        <v>29</v>
      </c>
    </row>
    <row r="161" spans="1:11" ht="15.6" x14ac:dyDescent="0.3">
      <c r="A161" s="3">
        <v>1313</v>
      </c>
      <c r="B161" s="4" t="s">
        <v>59</v>
      </c>
      <c r="C161" s="4" t="s">
        <v>22</v>
      </c>
      <c r="D161" s="4" t="s">
        <v>18</v>
      </c>
      <c r="E161" s="4" t="s">
        <v>56</v>
      </c>
      <c r="F161" s="4">
        <v>6</v>
      </c>
      <c r="G161" s="4">
        <v>10864</v>
      </c>
      <c r="H161" s="4">
        <v>10</v>
      </c>
      <c r="I161" s="5">
        <v>46041</v>
      </c>
      <c r="J161" s="5">
        <v>46049</v>
      </c>
      <c r="K161" s="6" t="s">
        <v>15</v>
      </c>
    </row>
    <row r="162" spans="1:11" ht="15.6" x14ac:dyDescent="0.3">
      <c r="A162" s="3">
        <v>1398</v>
      </c>
      <c r="B162" s="4" t="s">
        <v>58</v>
      </c>
      <c r="C162" s="4" t="s">
        <v>43</v>
      </c>
      <c r="D162" s="4" t="s">
        <v>34</v>
      </c>
      <c r="E162" s="4" t="s">
        <v>39</v>
      </c>
      <c r="F162" s="4">
        <v>12</v>
      </c>
      <c r="G162" s="4">
        <v>10668</v>
      </c>
      <c r="H162" s="4">
        <v>0</v>
      </c>
      <c r="I162" s="5">
        <v>46170</v>
      </c>
      <c r="J162" s="5">
        <v>46176</v>
      </c>
      <c r="K162" s="6" t="s">
        <v>15</v>
      </c>
    </row>
    <row r="163" spans="1:11" ht="15.6" x14ac:dyDescent="0.3">
      <c r="A163" s="3">
        <v>1258</v>
      </c>
      <c r="B163" s="4" t="s">
        <v>32</v>
      </c>
      <c r="C163" s="4" t="s">
        <v>31</v>
      </c>
      <c r="D163" s="4" t="s">
        <v>34</v>
      </c>
      <c r="E163" s="4" t="s">
        <v>60</v>
      </c>
      <c r="F163" s="4">
        <v>1</v>
      </c>
      <c r="G163" s="4">
        <v>10600</v>
      </c>
      <c r="H163" s="4">
        <v>5</v>
      </c>
      <c r="I163" s="5">
        <v>46137</v>
      </c>
      <c r="J163" s="5">
        <v>46138</v>
      </c>
      <c r="K163" s="6" t="s">
        <v>29</v>
      </c>
    </row>
    <row r="164" spans="1:11" ht="15.6" x14ac:dyDescent="0.3">
      <c r="A164" s="3">
        <v>1362</v>
      </c>
      <c r="B164" s="4" t="s">
        <v>16</v>
      </c>
      <c r="C164" s="4" t="s">
        <v>12</v>
      </c>
      <c r="D164" s="4" t="s">
        <v>18</v>
      </c>
      <c r="E164" s="4" t="s">
        <v>28</v>
      </c>
      <c r="F164" s="4">
        <v>1</v>
      </c>
      <c r="G164" s="4">
        <v>10474</v>
      </c>
      <c r="H164" s="4">
        <v>0</v>
      </c>
      <c r="I164" s="5">
        <v>46094</v>
      </c>
      <c r="J164" s="5">
        <v>46096</v>
      </c>
      <c r="K164" s="6" t="s">
        <v>29</v>
      </c>
    </row>
    <row r="165" spans="1:11" ht="15.6" x14ac:dyDescent="0.3">
      <c r="A165" s="3">
        <v>1395</v>
      </c>
      <c r="B165" s="4" t="s">
        <v>54</v>
      </c>
      <c r="C165" s="4" t="s">
        <v>33</v>
      </c>
      <c r="D165" s="4" t="s">
        <v>18</v>
      </c>
      <c r="E165" s="4" t="s">
        <v>44</v>
      </c>
      <c r="F165" s="4">
        <v>18</v>
      </c>
      <c r="G165" s="4">
        <v>10402</v>
      </c>
      <c r="H165" s="4">
        <v>15</v>
      </c>
      <c r="I165" s="5">
        <v>46062</v>
      </c>
      <c r="J165" s="5">
        <v>46067</v>
      </c>
      <c r="K165" s="6" t="s">
        <v>29</v>
      </c>
    </row>
    <row r="166" spans="1:11" ht="15.6" x14ac:dyDescent="0.3">
      <c r="A166" s="3">
        <v>1179</v>
      </c>
      <c r="B166" s="4" t="s">
        <v>47</v>
      </c>
      <c r="C166" s="4" t="s">
        <v>17</v>
      </c>
      <c r="D166" s="4" t="s">
        <v>34</v>
      </c>
      <c r="E166" s="4" t="s">
        <v>39</v>
      </c>
      <c r="F166" s="4">
        <v>6</v>
      </c>
      <c r="G166" s="4">
        <v>10400</v>
      </c>
      <c r="H166" s="4">
        <v>2</v>
      </c>
      <c r="I166" s="5">
        <v>46155</v>
      </c>
      <c r="J166" s="5">
        <v>46158</v>
      </c>
      <c r="K166" s="6" t="s">
        <v>15</v>
      </c>
    </row>
    <row r="167" spans="1:11" ht="15.6" x14ac:dyDescent="0.3">
      <c r="A167" s="3">
        <v>1188</v>
      </c>
      <c r="B167" s="4" t="s">
        <v>29</v>
      </c>
      <c r="C167" s="4" t="s">
        <v>22</v>
      </c>
      <c r="D167" s="4" t="s">
        <v>18</v>
      </c>
      <c r="E167" s="4" t="s">
        <v>56</v>
      </c>
      <c r="F167" s="4">
        <v>6</v>
      </c>
      <c r="G167" s="4">
        <v>10368</v>
      </c>
      <c r="H167" s="4">
        <v>7</v>
      </c>
      <c r="I167" s="5">
        <v>46137</v>
      </c>
      <c r="J167" s="5">
        <v>46142</v>
      </c>
      <c r="K167" s="6" t="s">
        <v>15</v>
      </c>
    </row>
    <row r="168" spans="1:11" ht="15.6" x14ac:dyDescent="0.3">
      <c r="A168" s="3">
        <v>1231</v>
      </c>
      <c r="B168" s="4" t="s">
        <v>48</v>
      </c>
      <c r="C168" s="4" t="s">
        <v>38</v>
      </c>
      <c r="D168" s="4" t="s">
        <v>18</v>
      </c>
      <c r="E168" s="4" t="s">
        <v>19</v>
      </c>
      <c r="F168" s="4">
        <v>13</v>
      </c>
      <c r="G168" s="4">
        <v>10297</v>
      </c>
      <c r="H168" s="4">
        <v>12</v>
      </c>
      <c r="I168" s="5">
        <v>46178</v>
      </c>
      <c r="J168" s="5">
        <v>46186</v>
      </c>
      <c r="K168" s="6" t="s">
        <v>20</v>
      </c>
    </row>
    <row r="169" spans="1:11" ht="15.6" x14ac:dyDescent="0.3">
      <c r="A169" s="3">
        <v>1153</v>
      </c>
      <c r="B169" s="4" t="s">
        <v>42</v>
      </c>
      <c r="C169" s="4" t="s">
        <v>25</v>
      </c>
      <c r="D169" s="4" t="s">
        <v>18</v>
      </c>
      <c r="E169" s="4" t="s">
        <v>23</v>
      </c>
      <c r="F169" s="4">
        <v>19</v>
      </c>
      <c r="G169" s="4">
        <v>10273</v>
      </c>
      <c r="H169" s="4">
        <v>12</v>
      </c>
      <c r="I169" s="5">
        <v>46069</v>
      </c>
      <c r="J169" s="5">
        <v>46072</v>
      </c>
      <c r="K169" s="6" t="s">
        <v>29</v>
      </c>
    </row>
    <row r="170" spans="1:11" ht="15.6" x14ac:dyDescent="0.3">
      <c r="A170" s="3">
        <v>1190</v>
      </c>
      <c r="B170" s="4" t="s">
        <v>57</v>
      </c>
      <c r="C170" s="4" t="s">
        <v>17</v>
      </c>
      <c r="D170" s="4" t="s">
        <v>18</v>
      </c>
      <c r="E170" s="4" t="s">
        <v>28</v>
      </c>
      <c r="F170" s="4">
        <v>4</v>
      </c>
      <c r="G170" s="4">
        <v>10154</v>
      </c>
      <c r="H170" s="4">
        <v>7</v>
      </c>
      <c r="I170" s="5">
        <v>46052</v>
      </c>
      <c r="J170" s="5">
        <v>46062</v>
      </c>
      <c r="K170" s="6" t="s">
        <v>20</v>
      </c>
    </row>
    <row r="171" spans="1:11" ht="15.6" x14ac:dyDescent="0.3">
      <c r="A171" s="3">
        <v>1047</v>
      </c>
      <c r="B171" s="4" t="s">
        <v>58</v>
      </c>
      <c r="C171" s="4" t="s">
        <v>38</v>
      </c>
      <c r="D171" s="4" t="s">
        <v>18</v>
      </c>
      <c r="E171" s="4" t="s">
        <v>56</v>
      </c>
      <c r="F171" s="4">
        <v>11</v>
      </c>
      <c r="G171" s="4">
        <v>9976</v>
      </c>
      <c r="H171" s="4">
        <v>12</v>
      </c>
      <c r="I171" s="5">
        <v>46200</v>
      </c>
      <c r="J171" s="5">
        <v>46209</v>
      </c>
      <c r="K171" s="6" t="s">
        <v>15</v>
      </c>
    </row>
    <row r="172" spans="1:11" ht="15.6" x14ac:dyDescent="0.3">
      <c r="A172" s="3">
        <v>1316</v>
      </c>
      <c r="B172" s="4" t="s">
        <v>46</v>
      </c>
      <c r="C172" s="4" t="s">
        <v>12</v>
      </c>
      <c r="D172" s="4" t="s">
        <v>18</v>
      </c>
      <c r="E172" s="4" t="s">
        <v>28</v>
      </c>
      <c r="F172" s="4">
        <v>7</v>
      </c>
      <c r="G172" s="4">
        <v>9838</v>
      </c>
      <c r="H172" s="4">
        <v>7</v>
      </c>
      <c r="I172" s="5">
        <v>46078</v>
      </c>
      <c r="J172" s="5">
        <v>46085</v>
      </c>
      <c r="K172" s="6" t="s">
        <v>20</v>
      </c>
    </row>
    <row r="173" spans="1:11" ht="15.6" x14ac:dyDescent="0.3">
      <c r="A173" s="3">
        <v>1054</v>
      </c>
      <c r="B173" s="4" t="s">
        <v>26</v>
      </c>
      <c r="C173" s="4" t="s">
        <v>25</v>
      </c>
      <c r="D173" s="4" t="s">
        <v>18</v>
      </c>
      <c r="E173" s="4" t="s">
        <v>23</v>
      </c>
      <c r="F173" s="4">
        <v>8</v>
      </c>
      <c r="G173" s="4">
        <v>9798</v>
      </c>
      <c r="H173" s="4">
        <v>12</v>
      </c>
      <c r="I173" s="5">
        <v>46200</v>
      </c>
      <c r="J173" s="5">
        <v>46201</v>
      </c>
      <c r="K173" s="6" t="s">
        <v>51</v>
      </c>
    </row>
    <row r="174" spans="1:11" ht="15.6" x14ac:dyDescent="0.3">
      <c r="A174" s="3">
        <v>1056</v>
      </c>
      <c r="B174" s="4" t="s">
        <v>11</v>
      </c>
      <c r="C174" s="4" t="s">
        <v>22</v>
      </c>
      <c r="D174" s="4" t="s">
        <v>18</v>
      </c>
      <c r="E174" s="4" t="s">
        <v>19</v>
      </c>
      <c r="F174" s="4">
        <v>3</v>
      </c>
      <c r="G174" s="4">
        <v>9771</v>
      </c>
      <c r="H174" s="4">
        <v>5</v>
      </c>
      <c r="I174" s="5">
        <v>46133</v>
      </c>
      <c r="J174" s="5">
        <v>46139</v>
      </c>
      <c r="K174" s="6" t="s">
        <v>24</v>
      </c>
    </row>
    <row r="175" spans="1:11" ht="15.6" x14ac:dyDescent="0.3">
      <c r="A175" s="3">
        <v>1053</v>
      </c>
      <c r="B175" s="4" t="s">
        <v>16</v>
      </c>
      <c r="C175" s="4" t="s">
        <v>33</v>
      </c>
      <c r="D175" s="4" t="s">
        <v>18</v>
      </c>
      <c r="E175" s="4" t="s">
        <v>28</v>
      </c>
      <c r="F175" s="4">
        <v>1</v>
      </c>
      <c r="G175" s="4">
        <v>9749</v>
      </c>
      <c r="H175" s="4">
        <v>15</v>
      </c>
      <c r="I175" s="5">
        <v>46064</v>
      </c>
      <c r="J175" s="5">
        <v>46070</v>
      </c>
      <c r="K175" s="6" t="s">
        <v>24</v>
      </c>
    </row>
    <row r="176" spans="1:11" ht="15.6" x14ac:dyDescent="0.3">
      <c r="A176" s="3">
        <v>1060</v>
      </c>
      <c r="B176" s="4" t="s">
        <v>49</v>
      </c>
      <c r="C176" s="4" t="s">
        <v>12</v>
      </c>
      <c r="D176" s="4" t="s">
        <v>18</v>
      </c>
      <c r="E176" s="4" t="s">
        <v>44</v>
      </c>
      <c r="F176" s="4">
        <v>9</v>
      </c>
      <c r="G176" s="4">
        <v>9727</v>
      </c>
      <c r="H176" s="4">
        <v>2</v>
      </c>
      <c r="I176" s="5">
        <v>46024</v>
      </c>
      <c r="J176" s="5">
        <v>46030</v>
      </c>
      <c r="K176" s="6" t="s">
        <v>20</v>
      </c>
    </row>
    <row r="177" spans="1:11" ht="15.6" x14ac:dyDescent="0.3">
      <c r="A177" s="3">
        <v>1147</v>
      </c>
      <c r="B177" s="4" t="s">
        <v>11</v>
      </c>
      <c r="C177" s="4" t="s">
        <v>22</v>
      </c>
      <c r="D177" s="4" t="s">
        <v>18</v>
      </c>
      <c r="E177" s="4" t="s">
        <v>28</v>
      </c>
      <c r="F177" s="4">
        <v>7</v>
      </c>
      <c r="G177" s="4">
        <v>9581</v>
      </c>
      <c r="H177" s="4">
        <v>5</v>
      </c>
      <c r="I177" s="5">
        <v>46154</v>
      </c>
      <c r="J177" s="5">
        <v>46155</v>
      </c>
      <c r="K177" s="6" t="s">
        <v>20</v>
      </c>
    </row>
    <row r="178" spans="1:11" ht="15.6" x14ac:dyDescent="0.3">
      <c r="A178" s="3">
        <v>1372</v>
      </c>
      <c r="B178" s="4" t="s">
        <v>48</v>
      </c>
      <c r="C178" s="4" t="s">
        <v>17</v>
      </c>
      <c r="D178" s="4" t="s">
        <v>34</v>
      </c>
      <c r="E178" s="4" t="s">
        <v>39</v>
      </c>
      <c r="F178" s="4">
        <v>9</v>
      </c>
      <c r="G178" s="4">
        <v>9551</v>
      </c>
      <c r="H178" s="4">
        <v>10</v>
      </c>
      <c r="I178" s="5">
        <v>46161</v>
      </c>
      <c r="J178" s="5">
        <v>46168</v>
      </c>
      <c r="K178" s="6" t="s">
        <v>15</v>
      </c>
    </row>
    <row r="179" spans="1:11" ht="15.6" x14ac:dyDescent="0.3">
      <c r="A179" s="3">
        <v>1057</v>
      </c>
      <c r="B179" s="4" t="s">
        <v>59</v>
      </c>
      <c r="C179" s="4" t="s">
        <v>22</v>
      </c>
      <c r="D179" s="4" t="s">
        <v>18</v>
      </c>
      <c r="E179" s="4" t="s">
        <v>28</v>
      </c>
      <c r="F179" s="4">
        <v>2</v>
      </c>
      <c r="G179" s="4">
        <v>9531</v>
      </c>
      <c r="H179" s="4">
        <v>15</v>
      </c>
      <c r="I179" s="5">
        <v>46067</v>
      </c>
      <c r="J179" s="5">
        <v>46076</v>
      </c>
      <c r="K179" s="6" t="s">
        <v>51</v>
      </c>
    </row>
    <row r="180" spans="1:11" ht="15.6" x14ac:dyDescent="0.3">
      <c r="A180" s="3">
        <v>1035</v>
      </c>
      <c r="B180" s="4" t="s">
        <v>49</v>
      </c>
      <c r="C180" s="4" t="s">
        <v>43</v>
      </c>
      <c r="D180" s="4" t="s">
        <v>18</v>
      </c>
      <c r="E180" s="4" t="s">
        <v>56</v>
      </c>
      <c r="F180" s="4">
        <v>3</v>
      </c>
      <c r="G180" s="4">
        <v>9149</v>
      </c>
      <c r="H180" s="4">
        <v>0</v>
      </c>
      <c r="I180" s="5">
        <v>46031</v>
      </c>
      <c r="J180" s="5">
        <v>46034</v>
      </c>
      <c r="K180" s="6" t="s">
        <v>24</v>
      </c>
    </row>
    <row r="181" spans="1:11" ht="15.6" x14ac:dyDescent="0.3">
      <c r="A181" s="3">
        <v>1118</v>
      </c>
      <c r="B181" s="4" t="s">
        <v>21</v>
      </c>
      <c r="C181" s="4" t="s">
        <v>22</v>
      </c>
      <c r="D181" s="4" t="s">
        <v>18</v>
      </c>
      <c r="E181" s="4" t="s">
        <v>23</v>
      </c>
      <c r="F181" s="4">
        <v>18</v>
      </c>
      <c r="G181" s="4">
        <v>9118</v>
      </c>
      <c r="H181" s="4">
        <v>5</v>
      </c>
      <c r="I181" s="5">
        <v>46178</v>
      </c>
      <c r="J181" s="5">
        <v>46187</v>
      </c>
      <c r="K181" s="6" t="s">
        <v>29</v>
      </c>
    </row>
    <row r="182" spans="1:11" ht="15.6" x14ac:dyDescent="0.3">
      <c r="A182" s="3">
        <v>1322</v>
      </c>
      <c r="B182" s="4" t="s">
        <v>27</v>
      </c>
      <c r="C182" s="4" t="s">
        <v>12</v>
      </c>
      <c r="D182" s="4" t="s">
        <v>18</v>
      </c>
      <c r="E182" s="4" t="s">
        <v>23</v>
      </c>
      <c r="F182" s="4">
        <v>14</v>
      </c>
      <c r="G182" s="4">
        <v>9081</v>
      </c>
      <c r="H182" s="4">
        <v>15</v>
      </c>
      <c r="I182" s="5">
        <v>46141</v>
      </c>
      <c r="J182" s="5">
        <v>46146</v>
      </c>
      <c r="K182" s="6" t="s">
        <v>15</v>
      </c>
    </row>
    <row r="183" spans="1:11" ht="15.6" x14ac:dyDescent="0.3">
      <c r="A183" s="3">
        <v>1133</v>
      </c>
      <c r="B183" s="4" t="s">
        <v>11</v>
      </c>
      <c r="C183" s="4" t="s">
        <v>12</v>
      </c>
      <c r="D183" s="4" t="s">
        <v>18</v>
      </c>
      <c r="E183" s="4" t="s">
        <v>56</v>
      </c>
      <c r="F183" s="4">
        <v>6</v>
      </c>
      <c r="G183" s="4">
        <v>9037</v>
      </c>
      <c r="H183" s="4">
        <v>2</v>
      </c>
      <c r="I183" s="5">
        <v>46112</v>
      </c>
      <c r="J183" s="5">
        <v>46121</v>
      </c>
      <c r="K183" s="6" t="s">
        <v>51</v>
      </c>
    </row>
    <row r="184" spans="1:11" ht="15.6" x14ac:dyDescent="0.3">
      <c r="A184" s="3">
        <v>1397</v>
      </c>
      <c r="B184" s="4" t="s">
        <v>21</v>
      </c>
      <c r="C184" s="4" t="s">
        <v>33</v>
      </c>
      <c r="D184" s="4" t="s">
        <v>18</v>
      </c>
      <c r="E184" s="4" t="s">
        <v>23</v>
      </c>
      <c r="F184" s="4">
        <v>1</v>
      </c>
      <c r="G184" s="4">
        <v>8948</v>
      </c>
      <c r="H184" s="4">
        <v>5</v>
      </c>
      <c r="I184" s="5">
        <v>46194</v>
      </c>
      <c r="J184" s="5">
        <v>46201</v>
      </c>
      <c r="K184" s="6" t="s">
        <v>51</v>
      </c>
    </row>
    <row r="185" spans="1:11" ht="15.6" x14ac:dyDescent="0.3">
      <c r="A185" s="3">
        <v>1220</v>
      </c>
      <c r="B185" s="4" t="s">
        <v>11</v>
      </c>
      <c r="C185" s="4" t="s">
        <v>25</v>
      </c>
      <c r="D185" s="4" t="s">
        <v>18</v>
      </c>
      <c r="E185" s="4" t="s">
        <v>56</v>
      </c>
      <c r="F185" s="4">
        <v>2</v>
      </c>
      <c r="G185" s="4">
        <v>8861</v>
      </c>
      <c r="H185" s="4">
        <v>2</v>
      </c>
      <c r="I185" s="5">
        <v>46170</v>
      </c>
      <c r="J185" s="5">
        <v>46174</v>
      </c>
      <c r="K185" s="6" t="s">
        <v>24</v>
      </c>
    </row>
    <row r="186" spans="1:11" ht="15.6" x14ac:dyDescent="0.3">
      <c r="A186" s="3">
        <v>1299</v>
      </c>
      <c r="B186" s="4" t="s">
        <v>26</v>
      </c>
      <c r="C186" s="4" t="s">
        <v>17</v>
      </c>
      <c r="D186" s="4" t="s">
        <v>18</v>
      </c>
      <c r="E186" s="4" t="s">
        <v>56</v>
      </c>
      <c r="F186" s="4">
        <v>8</v>
      </c>
      <c r="G186" s="4">
        <v>8783</v>
      </c>
      <c r="H186" s="4">
        <v>2</v>
      </c>
      <c r="I186" s="5">
        <v>46123</v>
      </c>
      <c r="J186" s="5">
        <v>46132</v>
      </c>
      <c r="K186" s="6" t="s">
        <v>15</v>
      </c>
    </row>
    <row r="187" spans="1:11" ht="15.6" x14ac:dyDescent="0.3">
      <c r="A187" s="3">
        <v>1191</v>
      </c>
      <c r="B187" s="4" t="s">
        <v>52</v>
      </c>
      <c r="C187" s="4" t="s">
        <v>33</v>
      </c>
      <c r="D187" s="4" t="s">
        <v>18</v>
      </c>
      <c r="E187" s="4" t="s">
        <v>56</v>
      </c>
      <c r="F187" s="4">
        <v>9</v>
      </c>
      <c r="G187" s="4">
        <v>8631</v>
      </c>
      <c r="H187" s="4">
        <v>10</v>
      </c>
      <c r="I187" s="5">
        <v>46149</v>
      </c>
      <c r="J187" s="5">
        <v>46156</v>
      </c>
      <c r="K187" s="6" t="s">
        <v>20</v>
      </c>
    </row>
    <row r="188" spans="1:11" ht="15.6" x14ac:dyDescent="0.3">
      <c r="A188" s="3">
        <v>1302</v>
      </c>
      <c r="B188" s="4" t="s">
        <v>57</v>
      </c>
      <c r="C188" s="4" t="s">
        <v>12</v>
      </c>
      <c r="D188" s="4" t="s">
        <v>34</v>
      </c>
      <c r="E188" s="4" t="s">
        <v>35</v>
      </c>
      <c r="F188" s="4">
        <v>9</v>
      </c>
      <c r="G188" s="4">
        <v>8500</v>
      </c>
      <c r="H188" s="4">
        <v>15</v>
      </c>
      <c r="I188" s="5">
        <v>46163</v>
      </c>
      <c r="J188" s="5">
        <v>46172</v>
      </c>
      <c r="K188" s="6" t="s">
        <v>24</v>
      </c>
    </row>
    <row r="189" spans="1:11" ht="15.6" x14ac:dyDescent="0.3">
      <c r="A189" s="3">
        <v>1002</v>
      </c>
      <c r="B189" s="4" t="s">
        <v>16</v>
      </c>
      <c r="C189" s="4" t="s">
        <v>17</v>
      </c>
      <c r="D189" s="4" t="s">
        <v>18</v>
      </c>
      <c r="E189" s="4" t="s">
        <v>19</v>
      </c>
      <c r="F189" s="4">
        <v>7</v>
      </c>
      <c r="G189" s="4">
        <v>8448</v>
      </c>
      <c r="H189" s="4">
        <v>12</v>
      </c>
      <c r="I189" s="5">
        <v>46174</v>
      </c>
      <c r="J189" s="5">
        <v>46179</v>
      </c>
      <c r="K189" s="6" t="s">
        <v>20</v>
      </c>
    </row>
    <row r="190" spans="1:11" ht="15.6" x14ac:dyDescent="0.3">
      <c r="A190" s="3">
        <v>1062</v>
      </c>
      <c r="B190" s="4" t="s">
        <v>40</v>
      </c>
      <c r="C190" s="4" t="s">
        <v>43</v>
      </c>
      <c r="D190" s="4" t="s">
        <v>18</v>
      </c>
      <c r="E190" s="4" t="s">
        <v>23</v>
      </c>
      <c r="F190" s="4">
        <v>8</v>
      </c>
      <c r="G190" s="4">
        <v>8360</v>
      </c>
      <c r="H190" s="4">
        <v>2</v>
      </c>
      <c r="I190" s="5">
        <v>46190</v>
      </c>
      <c r="J190" s="5">
        <v>46200</v>
      </c>
      <c r="K190" s="6" t="s">
        <v>51</v>
      </c>
    </row>
    <row r="191" spans="1:11" ht="15.6" x14ac:dyDescent="0.3">
      <c r="A191" s="3">
        <v>1189</v>
      </c>
      <c r="B191" s="4" t="s">
        <v>49</v>
      </c>
      <c r="C191" s="4" t="s">
        <v>31</v>
      </c>
      <c r="D191" s="4" t="s">
        <v>18</v>
      </c>
      <c r="E191" s="4" t="s">
        <v>56</v>
      </c>
      <c r="F191" s="4">
        <v>12</v>
      </c>
      <c r="G191" s="4">
        <v>8327</v>
      </c>
      <c r="H191" s="4">
        <v>10</v>
      </c>
      <c r="I191" s="5">
        <v>46184</v>
      </c>
      <c r="J191" s="5">
        <v>46185</v>
      </c>
      <c r="K191" s="6" t="s">
        <v>29</v>
      </c>
    </row>
    <row r="192" spans="1:11" ht="15.6" x14ac:dyDescent="0.3">
      <c r="A192" s="3">
        <v>1093</v>
      </c>
      <c r="B192" s="4" t="s">
        <v>47</v>
      </c>
      <c r="C192" s="4" t="s">
        <v>25</v>
      </c>
      <c r="D192" s="4" t="s">
        <v>18</v>
      </c>
      <c r="E192" s="4" t="s">
        <v>23</v>
      </c>
      <c r="F192" s="4">
        <v>6</v>
      </c>
      <c r="G192" s="4">
        <v>8224</v>
      </c>
      <c r="H192" s="4">
        <v>15</v>
      </c>
      <c r="I192" s="5">
        <v>46175</v>
      </c>
      <c r="J192" s="5">
        <v>46185</v>
      </c>
      <c r="K192" s="6" t="s">
        <v>51</v>
      </c>
    </row>
    <row r="193" spans="1:11" ht="15.6" x14ac:dyDescent="0.3">
      <c r="A193" s="3">
        <v>1152</v>
      </c>
      <c r="B193" s="4" t="s">
        <v>27</v>
      </c>
      <c r="C193" s="4" t="s">
        <v>31</v>
      </c>
      <c r="D193" s="4" t="s">
        <v>34</v>
      </c>
      <c r="E193" s="4" t="s">
        <v>61</v>
      </c>
      <c r="F193" s="4">
        <v>14</v>
      </c>
      <c r="G193" s="4">
        <v>8150</v>
      </c>
      <c r="H193" s="4">
        <v>10</v>
      </c>
      <c r="I193" s="5">
        <v>46062</v>
      </c>
      <c r="J193" s="5">
        <v>46070</v>
      </c>
      <c r="K193" s="6" t="s">
        <v>15</v>
      </c>
    </row>
    <row r="194" spans="1:11" ht="15.6" x14ac:dyDescent="0.3">
      <c r="A194" s="3">
        <v>1025</v>
      </c>
      <c r="B194" s="4" t="s">
        <v>21</v>
      </c>
      <c r="C194" s="4" t="s">
        <v>12</v>
      </c>
      <c r="D194" s="4" t="s">
        <v>18</v>
      </c>
      <c r="E194" s="4" t="s">
        <v>19</v>
      </c>
      <c r="F194" s="4">
        <v>18</v>
      </c>
      <c r="G194" s="4">
        <v>7924</v>
      </c>
      <c r="H194" s="4">
        <v>0</v>
      </c>
      <c r="I194" s="5">
        <v>46175</v>
      </c>
      <c r="J194" s="5">
        <v>46181</v>
      </c>
      <c r="K194" s="6" t="s">
        <v>15</v>
      </c>
    </row>
    <row r="195" spans="1:11" ht="15.6" x14ac:dyDescent="0.3">
      <c r="A195" s="3">
        <v>1065</v>
      </c>
      <c r="B195" s="4" t="s">
        <v>42</v>
      </c>
      <c r="C195" s="4" t="s">
        <v>43</v>
      </c>
      <c r="D195" s="4" t="s">
        <v>18</v>
      </c>
      <c r="E195" s="4" t="s">
        <v>44</v>
      </c>
      <c r="F195" s="4">
        <v>1</v>
      </c>
      <c r="G195" s="4">
        <v>7730</v>
      </c>
      <c r="H195" s="4">
        <v>5</v>
      </c>
      <c r="I195" s="5">
        <v>46192</v>
      </c>
      <c r="J195" s="5">
        <v>46195</v>
      </c>
      <c r="K195" s="6" t="s">
        <v>51</v>
      </c>
    </row>
    <row r="196" spans="1:11" ht="15.6" x14ac:dyDescent="0.3">
      <c r="A196" s="3">
        <v>1390</v>
      </c>
      <c r="B196" s="4" t="s">
        <v>58</v>
      </c>
      <c r="C196" s="4" t="s">
        <v>43</v>
      </c>
      <c r="D196" s="4" t="s">
        <v>18</v>
      </c>
      <c r="E196" s="4" t="s">
        <v>19</v>
      </c>
      <c r="F196" s="4">
        <v>9</v>
      </c>
      <c r="G196" s="4">
        <v>7670</v>
      </c>
      <c r="H196" s="4">
        <v>0</v>
      </c>
      <c r="I196" s="5">
        <v>46076</v>
      </c>
      <c r="J196" s="5">
        <v>46081</v>
      </c>
      <c r="K196" s="6" t="s">
        <v>51</v>
      </c>
    </row>
    <row r="197" spans="1:11" ht="15.6" x14ac:dyDescent="0.3">
      <c r="A197" s="3">
        <v>1208</v>
      </c>
      <c r="B197" s="4" t="s">
        <v>54</v>
      </c>
      <c r="C197" s="4" t="s">
        <v>43</v>
      </c>
      <c r="D197" s="4" t="s">
        <v>18</v>
      </c>
      <c r="E197" s="4" t="s">
        <v>44</v>
      </c>
      <c r="F197" s="4">
        <v>6</v>
      </c>
      <c r="G197" s="4">
        <v>7627</v>
      </c>
      <c r="H197" s="4">
        <v>10</v>
      </c>
      <c r="I197" s="5">
        <v>46042</v>
      </c>
      <c r="J197" s="5">
        <v>46047</v>
      </c>
      <c r="K197" s="6" t="s">
        <v>20</v>
      </c>
    </row>
    <row r="198" spans="1:11" ht="15.6" x14ac:dyDescent="0.3">
      <c r="A198" s="3">
        <v>1307</v>
      </c>
      <c r="B198" s="4" t="s">
        <v>57</v>
      </c>
      <c r="C198" s="4" t="s">
        <v>43</v>
      </c>
      <c r="D198" s="4" t="s">
        <v>34</v>
      </c>
      <c r="E198" s="4" t="s">
        <v>35</v>
      </c>
      <c r="F198" s="4">
        <v>18</v>
      </c>
      <c r="G198" s="4">
        <v>7541</v>
      </c>
      <c r="H198" s="4">
        <v>12</v>
      </c>
      <c r="I198" s="5">
        <v>46048</v>
      </c>
      <c r="J198" s="5">
        <v>46051</v>
      </c>
      <c r="K198" s="6" t="s">
        <v>51</v>
      </c>
    </row>
    <row r="199" spans="1:11" ht="15.6" x14ac:dyDescent="0.3">
      <c r="A199" s="3">
        <v>1040</v>
      </c>
      <c r="B199" s="4" t="s">
        <v>49</v>
      </c>
      <c r="C199" s="4" t="s">
        <v>38</v>
      </c>
      <c r="D199" s="4" t="s">
        <v>18</v>
      </c>
      <c r="E199" s="4" t="s">
        <v>28</v>
      </c>
      <c r="F199" s="4">
        <v>10</v>
      </c>
      <c r="G199" s="4">
        <v>7531</v>
      </c>
      <c r="H199" s="4">
        <v>2</v>
      </c>
      <c r="I199" s="5">
        <v>46171</v>
      </c>
      <c r="J199" s="5">
        <v>46178</v>
      </c>
      <c r="K199" s="6" t="s">
        <v>24</v>
      </c>
    </row>
    <row r="200" spans="1:11" ht="15.6" x14ac:dyDescent="0.3">
      <c r="A200" s="3">
        <v>1386</v>
      </c>
      <c r="B200" s="4" t="s">
        <v>27</v>
      </c>
      <c r="C200" s="4" t="s">
        <v>31</v>
      </c>
      <c r="D200" s="4" t="s">
        <v>18</v>
      </c>
      <c r="E200" s="4" t="s">
        <v>28</v>
      </c>
      <c r="F200" s="4">
        <v>9</v>
      </c>
      <c r="G200" s="4">
        <v>7509</v>
      </c>
      <c r="H200" s="4">
        <v>5</v>
      </c>
      <c r="I200" s="5">
        <v>46162</v>
      </c>
      <c r="J200" s="5">
        <v>46171</v>
      </c>
      <c r="K200" s="6" t="s">
        <v>51</v>
      </c>
    </row>
    <row r="201" spans="1:11" ht="15.6" x14ac:dyDescent="0.3">
      <c r="A201" s="3">
        <v>1177</v>
      </c>
      <c r="B201" s="4" t="s">
        <v>29</v>
      </c>
      <c r="C201" s="4" t="s">
        <v>22</v>
      </c>
      <c r="D201" s="4" t="s">
        <v>18</v>
      </c>
      <c r="E201" s="4" t="s">
        <v>19</v>
      </c>
      <c r="F201" s="4">
        <v>14</v>
      </c>
      <c r="G201" s="4">
        <v>7501</v>
      </c>
      <c r="H201" s="4">
        <v>7</v>
      </c>
      <c r="I201" s="5">
        <v>46169</v>
      </c>
      <c r="J201" s="5">
        <v>46179</v>
      </c>
      <c r="K201" s="6" t="s">
        <v>20</v>
      </c>
    </row>
    <row r="202" spans="1:11" ht="15.6" x14ac:dyDescent="0.3">
      <c r="A202" s="3">
        <v>1381</v>
      </c>
      <c r="B202" s="4" t="s">
        <v>55</v>
      </c>
      <c r="C202" s="4" t="s">
        <v>33</v>
      </c>
      <c r="D202" s="4" t="s">
        <v>18</v>
      </c>
      <c r="E202" s="4" t="s">
        <v>28</v>
      </c>
      <c r="F202" s="4">
        <v>5</v>
      </c>
      <c r="G202" s="4">
        <v>7484</v>
      </c>
      <c r="H202" s="4">
        <v>2</v>
      </c>
      <c r="I202" s="5">
        <v>46089</v>
      </c>
      <c r="J202" s="5">
        <v>46093</v>
      </c>
      <c r="K202" s="6" t="s">
        <v>20</v>
      </c>
    </row>
    <row r="203" spans="1:11" ht="15.6" x14ac:dyDescent="0.3">
      <c r="A203" s="3">
        <v>1094</v>
      </c>
      <c r="B203" s="4" t="s">
        <v>47</v>
      </c>
      <c r="C203" s="4" t="s">
        <v>43</v>
      </c>
      <c r="D203" s="4" t="s">
        <v>34</v>
      </c>
      <c r="E203" s="4" t="s">
        <v>61</v>
      </c>
      <c r="F203" s="4">
        <v>4</v>
      </c>
      <c r="G203" s="4">
        <v>7073</v>
      </c>
      <c r="H203" s="4">
        <v>0</v>
      </c>
      <c r="I203" s="5">
        <v>46101</v>
      </c>
      <c r="J203" s="5">
        <v>46105</v>
      </c>
      <c r="K203" s="6" t="s">
        <v>29</v>
      </c>
    </row>
    <row r="204" spans="1:11" ht="15.6" x14ac:dyDescent="0.3">
      <c r="A204" s="3">
        <v>1301</v>
      </c>
      <c r="B204" s="4" t="s">
        <v>54</v>
      </c>
      <c r="C204" s="4" t="s">
        <v>17</v>
      </c>
      <c r="D204" s="4" t="s">
        <v>18</v>
      </c>
      <c r="E204" s="4" t="s">
        <v>28</v>
      </c>
      <c r="F204" s="4">
        <v>3</v>
      </c>
      <c r="G204" s="4">
        <v>7020</v>
      </c>
      <c r="H204" s="4">
        <v>10</v>
      </c>
      <c r="I204" s="5">
        <v>46028</v>
      </c>
      <c r="J204" s="5">
        <v>46038</v>
      </c>
      <c r="K204" s="6" t="s">
        <v>24</v>
      </c>
    </row>
    <row r="205" spans="1:11" ht="15.6" x14ac:dyDescent="0.3">
      <c r="A205" s="3">
        <v>1346</v>
      </c>
      <c r="B205" s="4" t="s">
        <v>32</v>
      </c>
      <c r="C205" s="4" t="s">
        <v>22</v>
      </c>
      <c r="D205" s="4" t="s">
        <v>18</v>
      </c>
      <c r="E205" s="4" t="s">
        <v>19</v>
      </c>
      <c r="F205" s="4">
        <v>16</v>
      </c>
      <c r="G205" s="4">
        <v>6910</v>
      </c>
      <c r="H205" s="4">
        <v>15</v>
      </c>
      <c r="I205" s="5">
        <v>46140</v>
      </c>
      <c r="J205" s="5">
        <v>46142</v>
      </c>
      <c r="K205" s="6" t="s">
        <v>29</v>
      </c>
    </row>
    <row r="206" spans="1:11" ht="15.6" x14ac:dyDescent="0.3">
      <c r="A206" s="3">
        <v>1084</v>
      </c>
      <c r="B206" s="4" t="s">
        <v>49</v>
      </c>
      <c r="C206" s="4" t="s">
        <v>31</v>
      </c>
      <c r="D206" s="4" t="s">
        <v>18</v>
      </c>
      <c r="E206" s="4" t="s">
        <v>28</v>
      </c>
      <c r="F206" s="4">
        <v>4</v>
      </c>
      <c r="G206" s="4">
        <v>6901</v>
      </c>
      <c r="H206" s="4">
        <v>10</v>
      </c>
      <c r="I206" s="5">
        <v>46047</v>
      </c>
      <c r="J206" s="5">
        <v>46057</v>
      </c>
      <c r="K206" s="6" t="s">
        <v>20</v>
      </c>
    </row>
    <row r="207" spans="1:11" ht="15.6" x14ac:dyDescent="0.3">
      <c r="A207" s="3">
        <v>1141</v>
      </c>
      <c r="B207" s="4" t="s">
        <v>11</v>
      </c>
      <c r="C207" s="4" t="s">
        <v>17</v>
      </c>
      <c r="D207" s="4" t="s">
        <v>18</v>
      </c>
      <c r="E207" s="4" t="s">
        <v>44</v>
      </c>
      <c r="F207" s="4">
        <v>20</v>
      </c>
      <c r="G207" s="4">
        <v>6835</v>
      </c>
      <c r="H207" s="4">
        <v>2</v>
      </c>
      <c r="I207" s="5">
        <v>46043</v>
      </c>
      <c r="J207" s="5">
        <v>46053</v>
      </c>
      <c r="K207" s="6" t="s">
        <v>15</v>
      </c>
    </row>
    <row r="208" spans="1:11" ht="15.6" x14ac:dyDescent="0.3">
      <c r="A208" s="3">
        <v>1110</v>
      </c>
      <c r="B208" s="4" t="s">
        <v>49</v>
      </c>
      <c r="C208" s="4" t="s">
        <v>38</v>
      </c>
      <c r="D208" s="4" t="s">
        <v>18</v>
      </c>
      <c r="E208" s="4" t="s">
        <v>23</v>
      </c>
      <c r="F208" s="4">
        <v>14</v>
      </c>
      <c r="G208" s="4">
        <v>6793</v>
      </c>
      <c r="H208" s="4">
        <v>7</v>
      </c>
      <c r="I208" s="5">
        <v>46077</v>
      </c>
      <c r="J208" s="5">
        <v>46082</v>
      </c>
      <c r="K208" s="6" t="s">
        <v>29</v>
      </c>
    </row>
    <row r="209" spans="1:11" ht="15.6" x14ac:dyDescent="0.3">
      <c r="A209" s="3">
        <v>1113</v>
      </c>
      <c r="B209" s="4" t="s">
        <v>26</v>
      </c>
      <c r="C209" s="4" t="s">
        <v>43</v>
      </c>
      <c r="D209" s="4" t="s">
        <v>18</v>
      </c>
      <c r="E209" s="4" t="s">
        <v>56</v>
      </c>
      <c r="F209" s="4">
        <v>13</v>
      </c>
      <c r="G209" s="4">
        <v>6719</v>
      </c>
      <c r="H209" s="4">
        <v>15</v>
      </c>
      <c r="I209" s="5">
        <v>46076</v>
      </c>
      <c r="J209" s="5">
        <v>46081</v>
      </c>
      <c r="K209" s="6" t="s">
        <v>24</v>
      </c>
    </row>
    <row r="210" spans="1:11" ht="15.6" x14ac:dyDescent="0.3">
      <c r="A210" s="3">
        <v>1203</v>
      </c>
      <c r="B210" s="4" t="s">
        <v>40</v>
      </c>
      <c r="C210" s="4" t="s">
        <v>22</v>
      </c>
      <c r="D210" s="4" t="s">
        <v>18</v>
      </c>
      <c r="E210" s="4" t="s">
        <v>23</v>
      </c>
      <c r="F210" s="4">
        <v>17</v>
      </c>
      <c r="G210" s="4">
        <v>6695</v>
      </c>
      <c r="H210" s="4">
        <v>2</v>
      </c>
      <c r="I210" s="5">
        <v>46119</v>
      </c>
      <c r="J210" s="5">
        <v>46122</v>
      </c>
      <c r="K210" s="6" t="s">
        <v>51</v>
      </c>
    </row>
    <row r="211" spans="1:11" ht="15.6" x14ac:dyDescent="0.3">
      <c r="A211" s="3">
        <v>1360</v>
      </c>
      <c r="B211" s="4" t="s">
        <v>11</v>
      </c>
      <c r="C211" s="4" t="s">
        <v>43</v>
      </c>
      <c r="D211" s="4" t="s">
        <v>18</v>
      </c>
      <c r="E211" s="4" t="s">
        <v>23</v>
      </c>
      <c r="F211" s="4">
        <v>19</v>
      </c>
      <c r="G211" s="4">
        <v>6681</v>
      </c>
      <c r="H211" s="4">
        <v>2</v>
      </c>
      <c r="I211" s="5">
        <v>46146</v>
      </c>
      <c r="J211" s="5">
        <v>46150</v>
      </c>
      <c r="K211" s="6" t="s">
        <v>15</v>
      </c>
    </row>
    <row r="212" spans="1:11" ht="15.6" x14ac:dyDescent="0.3">
      <c r="A212" s="3">
        <v>1358</v>
      </c>
      <c r="B212" s="4" t="s">
        <v>40</v>
      </c>
      <c r="C212" s="4" t="s">
        <v>38</v>
      </c>
      <c r="D212" s="4" t="s">
        <v>18</v>
      </c>
      <c r="E212" s="4" t="s">
        <v>19</v>
      </c>
      <c r="F212" s="4">
        <v>7</v>
      </c>
      <c r="G212" s="4">
        <v>6618</v>
      </c>
      <c r="H212" s="4">
        <v>0</v>
      </c>
      <c r="I212" s="5">
        <v>46127</v>
      </c>
      <c r="J212" s="5">
        <v>46129</v>
      </c>
      <c r="K212" s="6" t="s">
        <v>20</v>
      </c>
    </row>
    <row r="213" spans="1:11" ht="15.6" x14ac:dyDescent="0.3">
      <c r="A213" s="3">
        <v>1109</v>
      </c>
      <c r="B213" s="4" t="s">
        <v>21</v>
      </c>
      <c r="C213" s="4" t="s">
        <v>31</v>
      </c>
      <c r="D213" s="4" t="s">
        <v>18</v>
      </c>
      <c r="E213" s="4" t="s">
        <v>44</v>
      </c>
      <c r="F213" s="4">
        <v>19</v>
      </c>
      <c r="G213" s="4">
        <v>6512</v>
      </c>
      <c r="H213" s="4">
        <v>10</v>
      </c>
      <c r="I213" s="5">
        <v>46033</v>
      </c>
      <c r="J213" s="5">
        <v>46037</v>
      </c>
      <c r="K213" s="6" t="s">
        <v>20</v>
      </c>
    </row>
    <row r="214" spans="1:11" ht="15.6" x14ac:dyDescent="0.3">
      <c r="A214" s="3">
        <v>1341</v>
      </c>
      <c r="B214" s="4" t="s">
        <v>57</v>
      </c>
      <c r="C214" s="4" t="s">
        <v>38</v>
      </c>
      <c r="D214" s="4" t="s">
        <v>18</v>
      </c>
      <c r="E214" s="4" t="s">
        <v>19</v>
      </c>
      <c r="F214" s="4">
        <v>19</v>
      </c>
      <c r="G214" s="4">
        <v>6488</v>
      </c>
      <c r="H214" s="4">
        <v>15</v>
      </c>
      <c r="I214" s="5">
        <v>46026</v>
      </c>
      <c r="J214" s="5">
        <v>46030</v>
      </c>
      <c r="K214" s="6" t="s">
        <v>20</v>
      </c>
    </row>
    <row r="215" spans="1:11" ht="15.6" x14ac:dyDescent="0.3">
      <c r="A215" s="3">
        <v>1264</v>
      </c>
      <c r="B215" s="4" t="s">
        <v>11</v>
      </c>
      <c r="C215" s="4" t="s">
        <v>22</v>
      </c>
      <c r="D215" s="4" t="s">
        <v>18</v>
      </c>
      <c r="E215" s="4" t="s">
        <v>28</v>
      </c>
      <c r="F215" s="4">
        <v>15</v>
      </c>
      <c r="G215" s="4">
        <v>6365</v>
      </c>
      <c r="H215" s="4">
        <v>10</v>
      </c>
      <c r="I215" s="5">
        <v>46200</v>
      </c>
      <c r="J215" s="5">
        <v>46206</v>
      </c>
      <c r="K215" s="6" t="s">
        <v>20</v>
      </c>
    </row>
    <row r="216" spans="1:11" ht="15.6" x14ac:dyDescent="0.3">
      <c r="A216" s="3">
        <v>1249</v>
      </c>
      <c r="B216" s="4" t="s">
        <v>16</v>
      </c>
      <c r="C216" s="4" t="s">
        <v>25</v>
      </c>
      <c r="D216" s="4" t="s">
        <v>34</v>
      </c>
      <c r="E216" s="4" t="s">
        <v>41</v>
      </c>
      <c r="F216" s="4">
        <v>18</v>
      </c>
      <c r="G216" s="4">
        <v>6360</v>
      </c>
      <c r="H216" s="4">
        <v>12</v>
      </c>
      <c r="I216" s="5">
        <v>46163</v>
      </c>
      <c r="J216" s="5">
        <v>46165</v>
      </c>
      <c r="K216" s="6" t="s">
        <v>20</v>
      </c>
    </row>
    <row r="217" spans="1:11" ht="15.6" x14ac:dyDescent="0.3">
      <c r="A217" s="3">
        <v>1244</v>
      </c>
      <c r="B217" s="4" t="s">
        <v>57</v>
      </c>
      <c r="C217" s="4" t="s">
        <v>38</v>
      </c>
      <c r="D217" s="4" t="s">
        <v>18</v>
      </c>
      <c r="E217" s="4" t="s">
        <v>28</v>
      </c>
      <c r="F217" s="4">
        <v>10</v>
      </c>
      <c r="G217" s="4">
        <v>6339</v>
      </c>
      <c r="H217" s="4">
        <v>12</v>
      </c>
      <c r="I217" s="5">
        <v>46200</v>
      </c>
      <c r="J217" s="5">
        <v>46205</v>
      </c>
      <c r="K217" s="6" t="s">
        <v>15</v>
      </c>
    </row>
    <row r="218" spans="1:11" ht="15.6" x14ac:dyDescent="0.3">
      <c r="A218" s="3">
        <v>1314</v>
      </c>
      <c r="B218" s="4" t="s">
        <v>52</v>
      </c>
      <c r="C218" s="4" t="s">
        <v>33</v>
      </c>
      <c r="D218" s="4" t="s">
        <v>18</v>
      </c>
      <c r="E218" s="4" t="s">
        <v>19</v>
      </c>
      <c r="F218" s="4">
        <v>10</v>
      </c>
      <c r="G218" s="4">
        <v>6328</v>
      </c>
      <c r="H218" s="4">
        <v>2</v>
      </c>
      <c r="I218" s="5">
        <v>46196</v>
      </c>
      <c r="J218" s="5">
        <v>46197</v>
      </c>
      <c r="K218" s="6" t="s">
        <v>29</v>
      </c>
    </row>
    <row r="219" spans="1:11" ht="15.6" x14ac:dyDescent="0.3">
      <c r="A219" s="3">
        <v>1154</v>
      </c>
      <c r="B219" s="4" t="s">
        <v>32</v>
      </c>
      <c r="C219" s="4" t="s">
        <v>17</v>
      </c>
      <c r="D219" s="4" t="s">
        <v>18</v>
      </c>
      <c r="E219" s="4" t="s">
        <v>56</v>
      </c>
      <c r="F219" s="4">
        <v>15</v>
      </c>
      <c r="G219" s="4">
        <v>6101</v>
      </c>
      <c r="H219" s="4">
        <v>0</v>
      </c>
      <c r="I219" s="5">
        <v>46178</v>
      </c>
      <c r="J219" s="5">
        <v>46183</v>
      </c>
      <c r="K219" s="6" t="s">
        <v>51</v>
      </c>
    </row>
    <row r="220" spans="1:11" ht="15.6" x14ac:dyDescent="0.3">
      <c r="A220" s="3">
        <v>1347</v>
      </c>
      <c r="B220" s="4" t="s">
        <v>29</v>
      </c>
      <c r="C220" s="4" t="s">
        <v>22</v>
      </c>
      <c r="D220" s="4" t="s">
        <v>34</v>
      </c>
      <c r="E220" s="4" t="s">
        <v>35</v>
      </c>
      <c r="F220" s="4">
        <v>16</v>
      </c>
      <c r="G220" s="4">
        <v>6034</v>
      </c>
      <c r="H220" s="4">
        <v>15</v>
      </c>
      <c r="I220" s="5">
        <v>46037</v>
      </c>
      <c r="J220" s="5">
        <v>46044</v>
      </c>
      <c r="K220" s="6" t="s">
        <v>24</v>
      </c>
    </row>
    <row r="221" spans="1:11" ht="15.6" x14ac:dyDescent="0.3">
      <c r="A221" s="3">
        <v>1211</v>
      </c>
      <c r="B221" s="4" t="s">
        <v>48</v>
      </c>
      <c r="C221" s="4" t="s">
        <v>17</v>
      </c>
      <c r="D221" s="4" t="s">
        <v>34</v>
      </c>
      <c r="E221" s="4" t="s">
        <v>35</v>
      </c>
      <c r="F221" s="4">
        <v>3</v>
      </c>
      <c r="G221" s="4">
        <v>5962</v>
      </c>
      <c r="H221" s="4">
        <v>7</v>
      </c>
      <c r="I221" s="5">
        <v>46175</v>
      </c>
      <c r="J221" s="5">
        <v>46183</v>
      </c>
      <c r="K221" s="6" t="s">
        <v>15</v>
      </c>
    </row>
    <row r="222" spans="1:11" ht="15.6" x14ac:dyDescent="0.3">
      <c r="A222" s="3">
        <v>1229</v>
      </c>
      <c r="B222" s="4" t="s">
        <v>57</v>
      </c>
      <c r="C222" s="4" t="s">
        <v>12</v>
      </c>
      <c r="D222" s="4" t="s">
        <v>18</v>
      </c>
      <c r="E222" s="4" t="s">
        <v>56</v>
      </c>
      <c r="F222" s="4">
        <v>14</v>
      </c>
      <c r="G222" s="4">
        <v>5859</v>
      </c>
      <c r="H222" s="4">
        <v>12</v>
      </c>
      <c r="I222" s="5">
        <v>46027</v>
      </c>
      <c r="J222" s="5">
        <v>46036</v>
      </c>
      <c r="K222" s="6" t="s">
        <v>20</v>
      </c>
    </row>
    <row r="223" spans="1:11" ht="15.6" x14ac:dyDescent="0.3">
      <c r="A223" s="3">
        <v>1369</v>
      </c>
      <c r="B223" s="4" t="s">
        <v>57</v>
      </c>
      <c r="C223" s="4" t="s">
        <v>25</v>
      </c>
      <c r="D223" s="4" t="s">
        <v>18</v>
      </c>
      <c r="E223" s="4" t="s">
        <v>19</v>
      </c>
      <c r="F223" s="4">
        <v>19</v>
      </c>
      <c r="G223" s="4">
        <v>5840</v>
      </c>
      <c r="H223" s="4">
        <v>5</v>
      </c>
      <c r="I223" s="5">
        <v>46062</v>
      </c>
      <c r="J223" s="5">
        <v>46067</v>
      </c>
      <c r="K223" s="6" t="s">
        <v>15</v>
      </c>
    </row>
    <row r="224" spans="1:11" ht="15.6" x14ac:dyDescent="0.3">
      <c r="A224" s="3">
        <v>1269</v>
      </c>
      <c r="B224" s="4" t="s">
        <v>52</v>
      </c>
      <c r="C224" s="4" t="s">
        <v>43</v>
      </c>
      <c r="D224" s="4" t="s">
        <v>18</v>
      </c>
      <c r="E224" s="4" t="s">
        <v>19</v>
      </c>
      <c r="F224" s="4">
        <v>14</v>
      </c>
      <c r="G224" s="4">
        <v>5704</v>
      </c>
      <c r="H224" s="4">
        <v>2</v>
      </c>
      <c r="I224" s="5">
        <v>46129</v>
      </c>
      <c r="J224" s="5">
        <v>46131</v>
      </c>
      <c r="K224" s="6" t="s">
        <v>15</v>
      </c>
    </row>
    <row r="225" spans="1:11" ht="15.6" x14ac:dyDescent="0.3">
      <c r="A225" s="3">
        <v>1336</v>
      </c>
      <c r="B225" s="4" t="s">
        <v>16</v>
      </c>
      <c r="C225" s="4" t="s">
        <v>25</v>
      </c>
      <c r="D225" s="4" t="s">
        <v>18</v>
      </c>
      <c r="E225" s="4" t="s">
        <v>56</v>
      </c>
      <c r="F225" s="4">
        <v>10</v>
      </c>
      <c r="G225" s="4">
        <v>5624</v>
      </c>
      <c r="H225" s="4">
        <v>0</v>
      </c>
      <c r="I225" s="5">
        <v>46086</v>
      </c>
      <c r="J225" s="5">
        <v>46092</v>
      </c>
      <c r="K225" s="6" t="s">
        <v>29</v>
      </c>
    </row>
    <row r="226" spans="1:11" ht="15.6" x14ac:dyDescent="0.3">
      <c r="A226" s="3">
        <v>1321</v>
      </c>
      <c r="B226" s="4" t="s">
        <v>32</v>
      </c>
      <c r="C226" s="4" t="s">
        <v>22</v>
      </c>
      <c r="D226" s="4" t="s">
        <v>18</v>
      </c>
      <c r="E226" s="4" t="s">
        <v>19</v>
      </c>
      <c r="F226" s="4">
        <v>8</v>
      </c>
      <c r="G226" s="4">
        <v>5619</v>
      </c>
      <c r="H226" s="4">
        <v>7</v>
      </c>
      <c r="I226" s="5">
        <v>46107</v>
      </c>
      <c r="J226" s="5">
        <v>46109</v>
      </c>
      <c r="K226" s="6" t="s">
        <v>51</v>
      </c>
    </row>
    <row r="227" spans="1:11" ht="15.6" x14ac:dyDescent="0.3">
      <c r="A227" s="3">
        <v>1058</v>
      </c>
      <c r="B227" s="4" t="s">
        <v>52</v>
      </c>
      <c r="C227" s="4" t="s">
        <v>38</v>
      </c>
      <c r="D227" s="4" t="s">
        <v>18</v>
      </c>
      <c r="E227" s="4" t="s">
        <v>28</v>
      </c>
      <c r="F227" s="4">
        <v>10</v>
      </c>
      <c r="G227" s="4">
        <v>5532</v>
      </c>
      <c r="H227" s="4">
        <v>7</v>
      </c>
      <c r="I227" s="5">
        <v>46074</v>
      </c>
      <c r="J227" s="5">
        <v>46084</v>
      </c>
      <c r="K227" s="6" t="s">
        <v>24</v>
      </c>
    </row>
    <row r="228" spans="1:11" ht="15.6" x14ac:dyDescent="0.3">
      <c r="A228" s="3">
        <v>1377</v>
      </c>
      <c r="B228" s="4" t="s">
        <v>32</v>
      </c>
      <c r="C228" s="4" t="s">
        <v>38</v>
      </c>
      <c r="D228" s="4" t="s">
        <v>18</v>
      </c>
      <c r="E228" s="4" t="s">
        <v>19</v>
      </c>
      <c r="F228" s="4">
        <v>3</v>
      </c>
      <c r="G228" s="4">
        <v>5480</v>
      </c>
      <c r="H228" s="4">
        <v>12</v>
      </c>
      <c r="I228" s="5">
        <v>46105</v>
      </c>
      <c r="J228" s="5">
        <v>46111</v>
      </c>
      <c r="K228" s="6" t="s">
        <v>24</v>
      </c>
    </row>
    <row r="229" spans="1:11" ht="15.6" x14ac:dyDescent="0.3">
      <c r="A229" s="3">
        <v>1240</v>
      </c>
      <c r="B229" s="4" t="s">
        <v>55</v>
      </c>
      <c r="C229" s="4" t="s">
        <v>33</v>
      </c>
      <c r="D229" s="4" t="s">
        <v>18</v>
      </c>
      <c r="E229" s="4" t="s">
        <v>23</v>
      </c>
      <c r="F229" s="4">
        <v>2</v>
      </c>
      <c r="G229" s="4">
        <v>5475</v>
      </c>
      <c r="H229" s="4">
        <v>2</v>
      </c>
      <c r="I229" s="5">
        <v>46142</v>
      </c>
      <c r="J229" s="5">
        <v>46146</v>
      </c>
      <c r="K229" s="6" t="s">
        <v>29</v>
      </c>
    </row>
    <row r="230" spans="1:11" ht="15.6" x14ac:dyDescent="0.3">
      <c r="A230" s="3">
        <v>1150</v>
      </c>
      <c r="B230" s="4" t="s">
        <v>42</v>
      </c>
      <c r="C230" s="4" t="s">
        <v>12</v>
      </c>
      <c r="D230" s="4" t="s">
        <v>18</v>
      </c>
      <c r="E230" s="4" t="s">
        <v>56</v>
      </c>
      <c r="F230" s="4">
        <v>10</v>
      </c>
      <c r="G230" s="4">
        <v>5323</v>
      </c>
      <c r="H230" s="4">
        <v>7</v>
      </c>
      <c r="I230" s="5">
        <v>46143</v>
      </c>
      <c r="J230" s="5">
        <v>46153</v>
      </c>
      <c r="K230" s="6" t="s">
        <v>24</v>
      </c>
    </row>
    <row r="231" spans="1:11" ht="15.6" x14ac:dyDescent="0.3">
      <c r="A231" s="3">
        <v>1303</v>
      </c>
      <c r="B231" s="4" t="s">
        <v>57</v>
      </c>
      <c r="C231" s="4" t="s">
        <v>38</v>
      </c>
      <c r="D231" s="4" t="s">
        <v>34</v>
      </c>
      <c r="E231" s="4" t="s">
        <v>35</v>
      </c>
      <c r="F231" s="4">
        <v>13</v>
      </c>
      <c r="G231" s="4">
        <v>5170</v>
      </c>
      <c r="H231" s="4">
        <v>2</v>
      </c>
      <c r="I231" s="5">
        <v>46124</v>
      </c>
      <c r="J231" s="5">
        <v>46127</v>
      </c>
      <c r="K231" s="6" t="s">
        <v>15</v>
      </c>
    </row>
    <row r="232" spans="1:11" ht="15.6" x14ac:dyDescent="0.3">
      <c r="A232" s="3">
        <v>1099</v>
      </c>
      <c r="B232" s="4" t="s">
        <v>26</v>
      </c>
      <c r="C232" s="4" t="s">
        <v>31</v>
      </c>
      <c r="D232" s="4" t="s">
        <v>18</v>
      </c>
      <c r="E232" s="4" t="s">
        <v>19</v>
      </c>
      <c r="F232" s="4">
        <v>1</v>
      </c>
      <c r="G232" s="4">
        <v>5165</v>
      </c>
      <c r="H232" s="4">
        <v>2</v>
      </c>
      <c r="I232" s="5">
        <v>46058</v>
      </c>
      <c r="J232" s="5">
        <v>46060</v>
      </c>
      <c r="K232" s="6" t="s">
        <v>15</v>
      </c>
    </row>
    <row r="233" spans="1:11" ht="15.6" x14ac:dyDescent="0.3">
      <c r="A233" s="3">
        <v>1034</v>
      </c>
      <c r="B233" s="4" t="s">
        <v>55</v>
      </c>
      <c r="C233" s="4" t="s">
        <v>33</v>
      </c>
      <c r="D233" s="4" t="s">
        <v>18</v>
      </c>
      <c r="E233" s="4" t="s">
        <v>28</v>
      </c>
      <c r="F233" s="4">
        <v>17</v>
      </c>
      <c r="G233" s="4">
        <v>5104</v>
      </c>
      <c r="H233" s="4">
        <v>12</v>
      </c>
      <c r="I233" s="5">
        <v>46052</v>
      </c>
      <c r="J233" s="5">
        <v>46061</v>
      </c>
      <c r="K233" s="6" t="s">
        <v>51</v>
      </c>
    </row>
    <row r="234" spans="1:11" ht="15.6" x14ac:dyDescent="0.3">
      <c r="A234" s="3">
        <v>1128</v>
      </c>
      <c r="B234" s="4" t="s">
        <v>30</v>
      </c>
      <c r="C234" s="4" t="s">
        <v>22</v>
      </c>
      <c r="D234" s="4" t="s">
        <v>34</v>
      </c>
      <c r="E234" s="4" t="s">
        <v>61</v>
      </c>
      <c r="F234" s="4">
        <v>6</v>
      </c>
      <c r="G234" s="4">
        <v>5001</v>
      </c>
      <c r="H234" s="4">
        <v>7</v>
      </c>
      <c r="I234" s="5">
        <v>46044</v>
      </c>
      <c r="J234" s="5">
        <v>46050</v>
      </c>
      <c r="K234" s="6" t="s">
        <v>29</v>
      </c>
    </row>
    <row r="235" spans="1:11" ht="15.6" x14ac:dyDescent="0.3">
      <c r="A235" s="3">
        <v>1033</v>
      </c>
      <c r="B235" s="4" t="s">
        <v>11</v>
      </c>
      <c r="C235" s="4" t="s">
        <v>43</v>
      </c>
      <c r="D235" s="4" t="s">
        <v>18</v>
      </c>
      <c r="E235" s="4" t="s">
        <v>19</v>
      </c>
      <c r="F235" s="4">
        <v>9</v>
      </c>
      <c r="G235" s="4">
        <v>4895</v>
      </c>
      <c r="H235" s="4">
        <v>2</v>
      </c>
      <c r="I235" s="5">
        <v>46082</v>
      </c>
      <c r="J235" s="5">
        <v>46084</v>
      </c>
      <c r="K235" s="6" t="s">
        <v>29</v>
      </c>
    </row>
    <row r="236" spans="1:11" ht="15.6" x14ac:dyDescent="0.3">
      <c r="A236" s="3">
        <v>1020</v>
      </c>
      <c r="B236" s="4" t="s">
        <v>46</v>
      </c>
      <c r="C236" s="4" t="s">
        <v>12</v>
      </c>
      <c r="D236" s="4" t="s">
        <v>18</v>
      </c>
      <c r="E236" s="4" t="s">
        <v>19</v>
      </c>
      <c r="F236" s="4">
        <v>5</v>
      </c>
      <c r="G236" s="4">
        <v>4582</v>
      </c>
      <c r="H236" s="4">
        <v>5</v>
      </c>
      <c r="I236" s="5">
        <v>46078</v>
      </c>
      <c r="J236" s="5">
        <v>46083</v>
      </c>
      <c r="K236" s="6" t="s">
        <v>15</v>
      </c>
    </row>
    <row r="237" spans="1:11" ht="15.6" x14ac:dyDescent="0.3">
      <c r="A237" s="3">
        <v>1069</v>
      </c>
      <c r="B237" s="4" t="s">
        <v>52</v>
      </c>
      <c r="C237" s="4" t="s">
        <v>31</v>
      </c>
      <c r="D237" s="4" t="s">
        <v>18</v>
      </c>
      <c r="E237" s="4" t="s">
        <v>28</v>
      </c>
      <c r="F237" s="4">
        <v>9</v>
      </c>
      <c r="G237" s="4">
        <v>4415</v>
      </c>
      <c r="H237" s="4">
        <v>5</v>
      </c>
      <c r="I237" s="5">
        <v>46039</v>
      </c>
      <c r="J237" s="5">
        <v>46046</v>
      </c>
      <c r="K237" s="6" t="s">
        <v>15</v>
      </c>
    </row>
    <row r="238" spans="1:11" ht="15.6" x14ac:dyDescent="0.3">
      <c r="A238" s="3">
        <v>1199</v>
      </c>
      <c r="B238" s="4" t="s">
        <v>11</v>
      </c>
      <c r="C238" s="4" t="s">
        <v>25</v>
      </c>
      <c r="D238" s="4" t="s">
        <v>34</v>
      </c>
      <c r="E238" s="4" t="s">
        <v>45</v>
      </c>
      <c r="F238" s="4">
        <v>2</v>
      </c>
      <c r="G238" s="4">
        <v>4375</v>
      </c>
      <c r="H238" s="4">
        <v>7</v>
      </c>
      <c r="I238" s="5">
        <v>46178</v>
      </c>
      <c r="J238" s="5">
        <v>46180</v>
      </c>
      <c r="K238" s="6" t="s">
        <v>24</v>
      </c>
    </row>
    <row r="239" spans="1:11" ht="15.6" x14ac:dyDescent="0.3">
      <c r="A239" s="3">
        <v>1155</v>
      </c>
      <c r="B239" s="4" t="s">
        <v>11</v>
      </c>
      <c r="C239" s="4" t="s">
        <v>31</v>
      </c>
      <c r="D239" s="4" t="s">
        <v>18</v>
      </c>
      <c r="E239" s="4" t="s">
        <v>28</v>
      </c>
      <c r="F239" s="4">
        <v>13</v>
      </c>
      <c r="G239" s="4">
        <v>4341</v>
      </c>
      <c r="H239" s="4">
        <v>15</v>
      </c>
      <c r="I239" s="5">
        <v>46093</v>
      </c>
      <c r="J239" s="5">
        <v>46096</v>
      </c>
      <c r="K239" s="6" t="s">
        <v>24</v>
      </c>
    </row>
    <row r="240" spans="1:11" ht="15.6" x14ac:dyDescent="0.3">
      <c r="A240" s="3">
        <v>1324</v>
      </c>
      <c r="B240" s="4" t="s">
        <v>32</v>
      </c>
      <c r="C240" s="4" t="s">
        <v>22</v>
      </c>
      <c r="D240" s="4" t="s">
        <v>18</v>
      </c>
      <c r="E240" s="4" t="s">
        <v>19</v>
      </c>
      <c r="F240" s="4">
        <v>1</v>
      </c>
      <c r="G240" s="4">
        <v>4286</v>
      </c>
      <c r="H240" s="4">
        <v>15</v>
      </c>
      <c r="I240" s="5">
        <v>46053</v>
      </c>
      <c r="J240" s="5">
        <v>46056</v>
      </c>
      <c r="K240" s="6" t="s">
        <v>20</v>
      </c>
    </row>
    <row r="241" spans="1:11" ht="15.6" x14ac:dyDescent="0.3">
      <c r="A241" s="3">
        <v>1340</v>
      </c>
      <c r="B241" s="4" t="s">
        <v>48</v>
      </c>
      <c r="C241" s="4" t="s">
        <v>17</v>
      </c>
      <c r="D241" s="4" t="s">
        <v>18</v>
      </c>
      <c r="E241" s="4" t="s">
        <v>19</v>
      </c>
      <c r="F241" s="4">
        <v>12</v>
      </c>
      <c r="G241" s="4">
        <v>3857</v>
      </c>
      <c r="H241" s="4">
        <v>12</v>
      </c>
      <c r="I241" s="5">
        <v>46196</v>
      </c>
      <c r="J241" s="5">
        <v>46198</v>
      </c>
      <c r="K241" s="6" t="s">
        <v>51</v>
      </c>
    </row>
    <row r="242" spans="1:11" ht="15.6" x14ac:dyDescent="0.3">
      <c r="A242" s="3">
        <v>1119</v>
      </c>
      <c r="B242" s="4" t="s">
        <v>30</v>
      </c>
      <c r="C242" s="4" t="s">
        <v>43</v>
      </c>
      <c r="D242" s="4" t="s">
        <v>18</v>
      </c>
      <c r="E242" s="4" t="s">
        <v>28</v>
      </c>
      <c r="F242" s="4">
        <v>2</v>
      </c>
      <c r="G242" s="4">
        <v>3706</v>
      </c>
      <c r="H242" s="4">
        <v>5</v>
      </c>
      <c r="I242" s="5">
        <v>46184</v>
      </c>
      <c r="J242" s="5">
        <v>46192</v>
      </c>
      <c r="K242" s="6" t="s">
        <v>51</v>
      </c>
    </row>
    <row r="243" spans="1:11" ht="15.6" x14ac:dyDescent="0.3">
      <c r="A243" s="3">
        <v>1023</v>
      </c>
      <c r="B243" s="4" t="s">
        <v>40</v>
      </c>
      <c r="C243" s="4" t="s">
        <v>12</v>
      </c>
      <c r="D243" s="4" t="s">
        <v>18</v>
      </c>
      <c r="E243" s="4" t="s">
        <v>44</v>
      </c>
      <c r="F243" s="4">
        <v>15</v>
      </c>
      <c r="G243" s="4">
        <v>3506</v>
      </c>
      <c r="H243" s="4">
        <v>2</v>
      </c>
      <c r="I243" s="5">
        <v>46193</v>
      </c>
      <c r="J243" s="5">
        <v>46194</v>
      </c>
      <c r="K243" s="6" t="s">
        <v>29</v>
      </c>
    </row>
    <row r="244" spans="1:11" ht="15.6" x14ac:dyDescent="0.3">
      <c r="A244" s="3">
        <v>1312</v>
      </c>
      <c r="B244" s="4" t="s">
        <v>57</v>
      </c>
      <c r="C244" s="4" t="s">
        <v>22</v>
      </c>
      <c r="D244" s="4" t="s">
        <v>18</v>
      </c>
      <c r="E244" s="4" t="s">
        <v>56</v>
      </c>
      <c r="F244" s="4">
        <v>20</v>
      </c>
      <c r="G244" s="4">
        <v>3274</v>
      </c>
      <c r="H244" s="4">
        <v>2</v>
      </c>
      <c r="I244" s="5">
        <v>46148</v>
      </c>
      <c r="J244" s="5">
        <v>46156</v>
      </c>
      <c r="K244" s="6" t="s">
        <v>24</v>
      </c>
    </row>
    <row r="245" spans="1:11" ht="15.6" x14ac:dyDescent="0.3">
      <c r="A245" s="3">
        <v>1282</v>
      </c>
      <c r="B245" s="4" t="s">
        <v>57</v>
      </c>
      <c r="C245" s="4" t="s">
        <v>43</v>
      </c>
      <c r="D245" s="4" t="s">
        <v>18</v>
      </c>
      <c r="E245" s="4" t="s">
        <v>44</v>
      </c>
      <c r="F245" s="4">
        <v>12</v>
      </c>
      <c r="G245" s="4">
        <v>3178</v>
      </c>
      <c r="H245" s="4">
        <v>10</v>
      </c>
      <c r="I245" s="5">
        <v>46176</v>
      </c>
      <c r="J245" s="5">
        <v>46177</v>
      </c>
      <c r="K245" s="6" t="s">
        <v>29</v>
      </c>
    </row>
    <row r="246" spans="1:11" ht="15.6" x14ac:dyDescent="0.3">
      <c r="A246" s="3">
        <v>1196</v>
      </c>
      <c r="B246" s="4" t="s">
        <v>48</v>
      </c>
      <c r="C246" s="4" t="s">
        <v>22</v>
      </c>
      <c r="D246" s="4" t="s">
        <v>34</v>
      </c>
      <c r="E246" s="4" t="s">
        <v>35</v>
      </c>
      <c r="F246" s="4">
        <v>20</v>
      </c>
      <c r="G246" s="4">
        <v>3172</v>
      </c>
      <c r="H246" s="4">
        <v>5</v>
      </c>
      <c r="I246" s="5">
        <v>46155</v>
      </c>
      <c r="J246" s="5">
        <v>46159</v>
      </c>
      <c r="K246" s="6" t="s">
        <v>20</v>
      </c>
    </row>
    <row r="247" spans="1:11" ht="15.6" x14ac:dyDescent="0.3">
      <c r="A247" s="3">
        <v>1131</v>
      </c>
      <c r="B247" s="4" t="s">
        <v>21</v>
      </c>
      <c r="C247" s="4" t="s">
        <v>31</v>
      </c>
      <c r="D247" s="4" t="s">
        <v>18</v>
      </c>
      <c r="E247" s="4" t="s">
        <v>23</v>
      </c>
      <c r="F247" s="4">
        <v>13</v>
      </c>
      <c r="G247" s="4">
        <v>3083</v>
      </c>
      <c r="H247" s="4">
        <v>7</v>
      </c>
      <c r="I247" s="5">
        <v>46168</v>
      </c>
      <c r="J247" s="5">
        <v>46173</v>
      </c>
      <c r="K247" s="6" t="s">
        <v>51</v>
      </c>
    </row>
    <row r="248" spans="1:11" ht="15.6" x14ac:dyDescent="0.3">
      <c r="A248" s="3">
        <v>1148</v>
      </c>
      <c r="B248" s="4" t="s">
        <v>59</v>
      </c>
      <c r="C248" s="4" t="s">
        <v>33</v>
      </c>
      <c r="D248" s="4" t="s">
        <v>18</v>
      </c>
      <c r="E248" s="4" t="s">
        <v>28</v>
      </c>
      <c r="F248" s="4">
        <v>11</v>
      </c>
      <c r="G248" s="4">
        <v>3023</v>
      </c>
      <c r="H248" s="4">
        <v>7</v>
      </c>
      <c r="I248" s="5">
        <v>46030</v>
      </c>
      <c r="J248" s="5">
        <v>46032</v>
      </c>
      <c r="K248" s="6" t="s">
        <v>24</v>
      </c>
    </row>
    <row r="249" spans="1:11" ht="15.6" x14ac:dyDescent="0.3">
      <c r="A249" s="3">
        <v>1230</v>
      </c>
      <c r="B249" s="4" t="s">
        <v>59</v>
      </c>
      <c r="C249" s="4" t="s">
        <v>33</v>
      </c>
      <c r="D249" s="4" t="s">
        <v>34</v>
      </c>
      <c r="E249" s="4" t="s">
        <v>60</v>
      </c>
      <c r="F249" s="4">
        <v>7</v>
      </c>
      <c r="G249" s="4">
        <v>2932</v>
      </c>
      <c r="H249" s="4">
        <v>7</v>
      </c>
      <c r="I249" s="5">
        <v>46050</v>
      </c>
      <c r="J249" s="5">
        <v>46059</v>
      </c>
      <c r="K249" s="6" t="s">
        <v>24</v>
      </c>
    </row>
    <row r="250" spans="1:11" ht="15.6" x14ac:dyDescent="0.3">
      <c r="A250" s="3">
        <v>1006</v>
      </c>
      <c r="B250" s="4" t="s">
        <v>27</v>
      </c>
      <c r="C250" s="4" t="s">
        <v>25</v>
      </c>
      <c r="D250" s="4" t="s">
        <v>18</v>
      </c>
      <c r="E250" s="4" t="s">
        <v>28</v>
      </c>
      <c r="F250" s="4">
        <v>3</v>
      </c>
      <c r="G250" s="4">
        <v>2714</v>
      </c>
      <c r="H250" s="4">
        <v>5</v>
      </c>
      <c r="I250" s="5">
        <v>46055</v>
      </c>
      <c r="J250" s="5">
        <v>46062</v>
      </c>
      <c r="K250" s="6" t="s">
        <v>29</v>
      </c>
    </row>
    <row r="251" spans="1:11" ht="15.6" x14ac:dyDescent="0.3">
      <c r="A251" s="3">
        <v>1222</v>
      </c>
      <c r="B251" s="4" t="s">
        <v>30</v>
      </c>
      <c r="C251" s="4" t="s">
        <v>33</v>
      </c>
      <c r="D251" s="4" t="s">
        <v>18</v>
      </c>
      <c r="E251" s="4" t="s">
        <v>23</v>
      </c>
      <c r="F251" s="4">
        <v>9</v>
      </c>
      <c r="G251" s="4">
        <v>2712</v>
      </c>
      <c r="H251" s="4">
        <v>12</v>
      </c>
      <c r="I251" s="5">
        <v>46154</v>
      </c>
      <c r="J251" s="5">
        <v>46163</v>
      </c>
      <c r="K251" s="6" t="s">
        <v>15</v>
      </c>
    </row>
    <row r="252" spans="1:11" ht="15.6" x14ac:dyDescent="0.3">
      <c r="A252" s="3">
        <v>1193</v>
      </c>
      <c r="B252" s="4" t="s">
        <v>57</v>
      </c>
      <c r="C252" s="4" t="s">
        <v>12</v>
      </c>
      <c r="D252" s="4" t="s">
        <v>18</v>
      </c>
      <c r="E252" s="4" t="s">
        <v>23</v>
      </c>
      <c r="F252" s="4">
        <v>19</v>
      </c>
      <c r="G252" s="4">
        <v>2699</v>
      </c>
      <c r="H252" s="4">
        <v>7</v>
      </c>
      <c r="I252" s="5">
        <v>46110</v>
      </c>
      <c r="J252" s="5">
        <v>46112</v>
      </c>
      <c r="K252" s="6" t="s">
        <v>29</v>
      </c>
    </row>
    <row r="253" spans="1:11" ht="15.6" x14ac:dyDescent="0.3">
      <c r="A253" s="3">
        <v>1221</v>
      </c>
      <c r="B253" s="4" t="s">
        <v>11</v>
      </c>
      <c r="C253" s="4" t="s">
        <v>31</v>
      </c>
      <c r="D253" s="4" t="s">
        <v>18</v>
      </c>
      <c r="E253" s="4" t="s">
        <v>56</v>
      </c>
      <c r="F253" s="4">
        <v>18</v>
      </c>
      <c r="G253" s="4">
        <v>2681</v>
      </c>
      <c r="H253" s="4">
        <v>10</v>
      </c>
      <c r="I253" s="5">
        <v>46122</v>
      </c>
      <c r="J253" s="5">
        <v>46125</v>
      </c>
      <c r="K253" s="6" t="s">
        <v>51</v>
      </c>
    </row>
    <row r="254" spans="1:11" ht="15.6" x14ac:dyDescent="0.3">
      <c r="A254" s="3">
        <v>1073</v>
      </c>
      <c r="B254" s="4" t="s">
        <v>58</v>
      </c>
      <c r="C254" s="4" t="s">
        <v>17</v>
      </c>
      <c r="D254" s="4" t="s">
        <v>18</v>
      </c>
      <c r="E254" s="4" t="s">
        <v>56</v>
      </c>
      <c r="F254" s="4">
        <v>4</v>
      </c>
      <c r="G254" s="4">
        <v>2453</v>
      </c>
      <c r="H254" s="4">
        <v>7</v>
      </c>
      <c r="I254" s="5">
        <v>46126</v>
      </c>
      <c r="J254" s="5">
        <v>46129</v>
      </c>
      <c r="K254" s="6" t="s">
        <v>51</v>
      </c>
    </row>
    <row r="255" spans="1:11" ht="15.6" x14ac:dyDescent="0.3">
      <c r="A255" s="3">
        <v>1223</v>
      </c>
      <c r="B255" s="4" t="s">
        <v>59</v>
      </c>
      <c r="C255" s="4" t="s">
        <v>17</v>
      </c>
      <c r="D255" s="4" t="s">
        <v>18</v>
      </c>
      <c r="E255" s="4" t="s">
        <v>23</v>
      </c>
      <c r="F255" s="4">
        <v>4</v>
      </c>
      <c r="G255" s="4">
        <v>2249</v>
      </c>
      <c r="H255" s="4">
        <v>7</v>
      </c>
      <c r="I255" s="5">
        <v>46077</v>
      </c>
      <c r="J255" s="5">
        <v>46084</v>
      </c>
      <c r="K255" s="6" t="s">
        <v>15</v>
      </c>
    </row>
    <row r="256" spans="1:11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</row>
    <row r="257" spans="1:11" ht="15.6" x14ac:dyDescent="0.3">
      <c r="A257" s="3">
        <v>1262</v>
      </c>
      <c r="B257" s="4" t="s">
        <v>16</v>
      </c>
      <c r="C257" s="4" t="s">
        <v>22</v>
      </c>
      <c r="D257" s="4" t="s">
        <v>18</v>
      </c>
      <c r="E257" s="4" t="s">
        <v>28</v>
      </c>
      <c r="F257" s="4">
        <v>9</v>
      </c>
      <c r="G257" s="4">
        <v>2231</v>
      </c>
      <c r="H257" s="4">
        <v>15</v>
      </c>
      <c r="I257" s="5">
        <v>46174</v>
      </c>
      <c r="J257" s="5">
        <v>46183</v>
      </c>
      <c r="K257" s="6" t="s">
        <v>15</v>
      </c>
    </row>
    <row r="258" spans="1:11" ht="15.6" x14ac:dyDescent="0.3">
      <c r="A258" s="3">
        <v>1106</v>
      </c>
      <c r="B258" s="4" t="s">
        <v>27</v>
      </c>
      <c r="C258" s="4" t="s">
        <v>43</v>
      </c>
      <c r="D258" s="4" t="s">
        <v>18</v>
      </c>
      <c r="E258" s="4" t="s">
        <v>23</v>
      </c>
      <c r="F258" s="4">
        <v>20</v>
      </c>
      <c r="G258" s="4">
        <v>2141</v>
      </c>
      <c r="H258" s="4">
        <v>2</v>
      </c>
      <c r="I258" s="5">
        <v>46091</v>
      </c>
      <c r="J258" s="5">
        <v>46097</v>
      </c>
      <c r="K258" s="6" t="s">
        <v>29</v>
      </c>
    </row>
    <row r="259" spans="1:11" ht="15.6" x14ac:dyDescent="0.3">
      <c r="A259" s="3">
        <v>1003</v>
      </c>
      <c r="B259" s="4" t="s">
        <v>21</v>
      </c>
      <c r="C259" s="4" t="s">
        <v>22</v>
      </c>
      <c r="D259" s="4" t="s">
        <v>18</v>
      </c>
      <c r="E259" s="4" t="s">
        <v>23</v>
      </c>
      <c r="F259" s="4">
        <v>20</v>
      </c>
      <c r="G259" s="4">
        <v>2123</v>
      </c>
      <c r="H259" s="4">
        <v>15</v>
      </c>
      <c r="I259" s="5">
        <v>46183</v>
      </c>
      <c r="J259" s="5">
        <v>46192</v>
      </c>
      <c r="K259" s="6" t="s">
        <v>24</v>
      </c>
    </row>
    <row r="260" spans="1:11" ht="15.6" x14ac:dyDescent="0.3">
      <c r="A260" s="3">
        <v>1180</v>
      </c>
      <c r="B260" s="4" t="s">
        <v>40</v>
      </c>
      <c r="C260" s="4" t="s">
        <v>31</v>
      </c>
      <c r="D260" s="4" t="s">
        <v>18</v>
      </c>
      <c r="E260" s="4" t="s">
        <v>28</v>
      </c>
      <c r="F260" s="4">
        <v>2</v>
      </c>
      <c r="G260" s="4">
        <v>2076</v>
      </c>
      <c r="H260" s="4">
        <v>2</v>
      </c>
      <c r="I260" s="5">
        <v>46111</v>
      </c>
      <c r="J260" s="5">
        <v>46121</v>
      </c>
      <c r="K260" s="6" t="s">
        <v>29</v>
      </c>
    </row>
    <row r="261" spans="1:11" ht="15.6" x14ac:dyDescent="0.3">
      <c r="A261" s="3">
        <v>1112</v>
      </c>
      <c r="B261" s="4" t="s">
        <v>21</v>
      </c>
      <c r="C261" s="4" t="s">
        <v>43</v>
      </c>
      <c r="D261" s="4" t="s">
        <v>18</v>
      </c>
      <c r="E261" s="4" t="s">
        <v>44</v>
      </c>
      <c r="F261" s="4">
        <v>7</v>
      </c>
      <c r="G261" s="4">
        <v>1959</v>
      </c>
      <c r="H261" s="4">
        <v>15</v>
      </c>
      <c r="I261" s="5">
        <v>46090</v>
      </c>
      <c r="J261" s="5">
        <v>46100</v>
      </c>
      <c r="K261" s="6" t="s">
        <v>15</v>
      </c>
    </row>
    <row r="262" spans="1:11" ht="15.6" x14ac:dyDescent="0.3">
      <c r="A262" s="3">
        <v>1326</v>
      </c>
      <c r="B262" s="4" t="s">
        <v>26</v>
      </c>
      <c r="C262" s="4" t="s">
        <v>17</v>
      </c>
      <c r="D262" s="4" t="s">
        <v>18</v>
      </c>
      <c r="E262" s="4" t="s">
        <v>44</v>
      </c>
      <c r="F262" s="4">
        <v>18</v>
      </c>
      <c r="G262" s="4">
        <v>1830</v>
      </c>
      <c r="H262" s="4">
        <v>10</v>
      </c>
      <c r="I262" s="5">
        <v>46165</v>
      </c>
      <c r="J262" s="5">
        <v>46172</v>
      </c>
      <c r="K262" s="6" t="s">
        <v>15</v>
      </c>
    </row>
    <row r="263" spans="1:11" ht="15.6" x14ac:dyDescent="0.3">
      <c r="A263" s="3">
        <v>1246</v>
      </c>
      <c r="B263" s="4" t="s">
        <v>55</v>
      </c>
      <c r="C263" s="4" t="s">
        <v>22</v>
      </c>
      <c r="D263" s="4" t="s">
        <v>34</v>
      </c>
      <c r="E263" s="4" t="s">
        <v>35</v>
      </c>
      <c r="F263" s="4">
        <v>13</v>
      </c>
      <c r="G263" s="4">
        <v>1825</v>
      </c>
      <c r="H263" s="4">
        <v>2</v>
      </c>
      <c r="I263" s="5">
        <v>46039</v>
      </c>
      <c r="J263" s="5">
        <v>46045</v>
      </c>
      <c r="K263" s="6" t="s">
        <v>51</v>
      </c>
    </row>
    <row r="264" spans="1:11" ht="15.6" x14ac:dyDescent="0.3">
      <c r="A264" s="3">
        <v>1361</v>
      </c>
      <c r="B264" s="4" t="s">
        <v>42</v>
      </c>
      <c r="C264" s="4" t="s">
        <v>17</v>
      </c>
      <c r="D264" s="4" t="s">
        <v>18</v>
      </c>
      <c r="E264" s="4" t="s">
        <v>23</v>
      </c>
      <c r="F264" s="4">
        <v>2</v>
      </c>
      <c r="G264" s="4">
        <v>1822</v>
      </c>
      <c r="H264" s="4">
        <v>5</v>
      </c>
      <c r="I264" s="5">
        <v>46141</v>
      </c>
      <c r="J264" s="5">
        <v>46145</v>
      </c>
      <c r="K264" s="6" t="s">
        <v>20</v>
      </c>
    </row>
    <row r="265" spans="1:11" ht="15.6" x14ac:dyDescent="0.3">
      <c r="A265" s="3">
        <v>1364</v>
      </c>
      <c r="B265" s="4" t="s">
        <v>30</v>
      </c>
      <c r="C265" s="4" t="s">
        <v>22</v>
      </c>
      <c r="D265" s="4" t="s">
        <v>18</v>
      </c>
      <c r="E265" s="4" t="s">
        <v>56</v>
      </c>
      <c r="F265" s="4">
        <v>16</v>
      </c>
      <c r="G265" s="4">
        <v>1744</v>
      </c>
      <c r="H265" s="4">
        <v>15</v>
      </c>
      <c r="I265" s="5">
        <v>46031</v>
      </c>
      <c r="J265" s="5">
        <v>46033</v>
      </c>
      <c r="K265" s="6" t="s">
        <v>51</v>
      </c>
    </row>
    <row r="266" spans="1:11" ht="15.6" x14ac:dyDescent="0.3">
      <c r="A266" s="3">
        <v>1024</v>
      </c>
      <c r="B266" s="4" t="s">
        <v>32</v>
      </c>
      <c r="C266" s="4" t="s">
        <v>38</v>
      </c>
      <c r="D266" s="4" t="s">
        <v>34</v>
      </c>
      <c r="E266" s="4" t="s">
        <v>41</v>
      </c>
      <c r="F266" s="4">
        <v>12</v>
      </c>
      <c r="G266" s="4">
        <v>1682</v>
      </c>
      <c r="H266" s="4">
        <v>5</v>
      </c>
      <c r="I266" s="5">
        <v>46161</v>
      </c>
      <c r="J266" s="5">
        <v>46165</v>
      </c>
      <c r="K266" s="6" t="s">
        <v>15</v>
      </c>
    </row>
    <row r="267" spans="1:11" ht="15.6" x14ac:dyDescent="0.3">
      <c r="A267" s="3">
        <v>1263</v>
      </c>
      <c r="B267" s="4" t="s">
        <v>29</v>
      </c>
      <c r="C267" s="4" t="s">
        <v>38</v>
      </c>
      <c r="D267" s="4" t="s">
        <v>18</v>
      </c>
      <c r="E267" s="4" t="s">
        <v>28</v>
      </c>
      <c r="F267" s="4">
        <v>10</v>
      </c>
      <c r="G267" s="4">
        <v>1505</v>
      </c>
      <c r="H267" s="4">
        <v>0</v>
      </c>
      <c r="I267" s="5">
        <v>46130</v>
      </c>
      <c r="J267" s="5">
        <v>46138</v>
      </c>
      <c r="K267" s="6" t="s">
        <v>51</v>
      </c>
    </row>
    <row r="268" spans="1:11" ht="15.6" x14ac:dyDescent="0.3">
      <c r="A268" s="3">
        <v>1335</v>
      </c>
      <c r="B268" s="4" t="s">
        <v>47</v>
      </c>
      <c r="C268" s="4" t="s">
        <v>17</v>
      </c>
      <c r="D268" s="4" t="s">
        <v>18</v>
      </c>
      <c r="E268" s="4" t="s">
        <v>19</v>
      </c>
      <c r="F268" s="4">
        <v>9</v>
      </c>
      <c r="G268" s="4">
        <v>1495</v>
      </c>
      <c r="H268" s="4">
        <v>12</v>
      </c>
      <c r="I268" s="5">
        <v>46168</v>
      </c>
      <c r="J268" s="5">
        <v>46173</v>
      </c>
      <c r="K268" s="6" t="s">
        <v>15</v>
      </c>
    </row>
    <row r="269" spans="1:11" ht="15.6" x14ac:dyDescent="0.3">
      <c r="A269" s="3">
        <v>1300</v>
      </c>
      <c r="B269" s="4" t="s">
        <v>47</v>
      </c>
      <c r="C269" s="4" t="s">
        <v>33</v>
      </c>
      <c r="D269" s="4" t="s">
        <v>34</v>
      </c>
      <c r="E269" s="4" t="s">
        <v>45</v>
      </c>
      <c r="F269" s="4">
        <v>20</v>
      </c>
      <c r="G269" s="4">
        <v>1392</v>
      </c>
      <c r="H269" s="4">
        <v>2</v>
      </c>
      <c r="I269" s="5">
        <v>46110</v>
      </c>
      <c r="J269" s="5">
        <v>46117</v>
      </c>
      <c r="K269" s="6" t="s">
        <v>24</v>
      </c>
    </row>
    <row r="270" spans="1:11" ht="15.6" x14ac:dyDescent="0.3">
      <c r="A270" s="3">
        <v>1286</v>
      </c>
      <c r="B270" s="4" t="s">
        <v>46</v>
      </c>
      <c r="C270" s="4" t="s">
        <v>17</v>
      </c>
      <c r="D270" s="4" t="s">
        <v>18</v>
      </c>
      <c r="E270" s="4" t="s">
        <v>56</v>
      </c>
      <c r="F270" s="4">
        <v>9</v>
      </c>
      <c r="G270" s="4">
        <v>1340</v>
      </c>
      <c r="H270" s="4">
        <v>2</v>
      </c>
      <c r="I270" s="5">
        <v>46168</v>
      </c>
      <c r="J270" s="5">
        <v>46173</v>
      </c>
      <c r="K270" s="6" t="s">
        <v>15</v>
      </c>
    </row>
    <row r="271" spans="1:11" ht="15.6" x14ac:dyDescent="0.3">
      <c r="A271" s="3">
        <v>1123</v>
      </c>
      <c r="B271" s="4" t="s">
        <v>32</v>
      </c>
      <c r="C271" s="4" t="s">
        <v>31</v>
      </c>
      <c r="D271" s="4" t="s">
        <v>34</v>
      </c>
      <c r="E271" s="4" t="s">
        <v>45</v>
      </c>
      <c r="F271" s="4">
        <v>16</v>
      </c>
      <c r="G271" s="4">
        <v>1332</v>
      </c>
      <c r="H271" s="4">
        <v>7</v>
      </c>
      <c r="I271" s="5">
        <v>46107</v>
      </c>
      <c r="J271" s="5">
        <v>46109</v>
      </c>
      <c r="K271" s="6" t="s">
        <v>29</v>
      </c>
    </row>
    <row r="272" spans="1:11" ht="15.6" x14ac:dyDescent="0.3">
      <c r="A272" s="3">
        <v>1227</v>
      </c>
      <c r="B272" s="4" t="s">
        <v>58</v>
      </c>
      <c r="C272" s="4" t="s">
        <v>22</v>
      </c>
      <c r="D272" s="4" t="s">
        <v>34</v>
      </c>
      <c r="E272" s="4" t="s">
        <v>45</v>
      </c>
      <c r="F272" s="4">
        <v>16</v>
      </c>
      <c r="G272" s="4">
        <v>1321</v>
      </c>
      <c r="H272" s="4">
        <v>12</v>
      </c>
      <c r="I272" s="5">
        <v>46113</v>
      </c>
      <c r="J272" s="5">
        <v>46116</v>
      </c>
      <c r="K272" s="6" t="s">
        <v>15</v>
      </c>
    </row>
    <row r="273" spans="1:11" ht="15.6" x14ac:dyDescent="0.3">
      <c r="A273" s="3">
        <v>1351</v>
      </c>
      <c r="B273" s="4" t="s">
        <v>42</v>
      </c>
      <c r="C273" s="4" t="s">
        <v>33</v>
      </c>
      <c r="D273" s="4" t="s">
        <v>34</v>
      </c>
      <c r="E273" s="4" t="s">
        <v>45</v>
      </c>
      <c r="F273" s="4">
        <v>12</v>
      </c>
      <c r="G273" s="4">
        <v>1272</v>
      </c>
      <c r="H273" s="4">
        <v>0</v>
      </c>
      <c r="I273" s="5">
        <v>46026</v>
      </c>
      <c r="J273" s="5">
        <v>46029</v>
      </c>
      <c r="K273" s="6" t="s">
        <v>15</v>
      </c>
    </row>
    <row r="274" spans="1:11" ht="15.6" x14ac:dyDescent="0.3">
      <c r="A274" s="3">
        <v>1215</v>
      </c>
      <c r="B274" s="4" t="s">
        <v>27</v>
      </c>
      <c r="C274" s="4" t="s">
        <v>12</v>
      </c>
      <c r="D274" s="4" t="s">
        <v>18</v>
      </c>
      <c r="E274" s="4" t="s">
        <v>28</v>
      </c>
      <c r="F274" s="4">
        <v>6</v>
      </c>
      <c r="G274" s="4">
        <v>1254</v>
      </c>
      <c r="H274" s="4">
        <v>0</v>
      </c>
      <c r="I274" s="5">
        <v>46131</v>
      </c>
      <c r="J274" s="5">
        <v>46136</v>
      </c>
      <c r="K274" s="6" t="s">
        <v>29</v>
      </c>
    </row>
    <row r="275" spans="1:11" ht="15.6" x14ac:dyDescent="0.3">
      <c r="A275" s="3">
        <v>1283</v>
      </c>
      <c r="B275" s="4" t="s">
        <v>40</v>
      </c>
      <c r="C275" s="4" t="s">
        <v>12</v>
      </c>
      <c r="D275" s="4" t="s">
        <v>18</v>
      </c>
      <c r="E275" s="4" t="s">
        <v>23</v>
      </c>
      <c r="F275" s="4">
        <v>6</v>
      </c>
      <c r="G275" s="4">
        <v>1167</v>
      </c>
      <c r="H275" s="4">
        <v>2</v>
      </c>
      <c r="I275" s="5">
        <v>46100</v>
      </c>
      <c r="J275" s="5">
        <v>46106</v>
      </c>
      <c r="K275" s="6" t="s">
        <v>15</v>
      </c>
    </row>
    <row r="276" spans="1:11" ht="15.6" x14ac:dyDescent="0.3">
      <c r="A276" s="3">
        <v>1008</v>
      </c>
      <c r="B276" s="4" t="s">
        <v>30</v>
      </c>
      <c r="C276" s="4" t="s">
        <v>31</v>
      </c>
      <c r="D276" s="4" t="s">
        <v>18</v>
      </c>
      <c r="E276" s="4" t="s">
        <v>28</v>
      </c>
      <c r="F276" s="4">
        <v>1</v>
      </c>
      <c r="G276" s="4">
        <v>1134</v>
      </c>
      <c r="H276" s="4">
        <v>0</v>
      </c>
      <c r="I276" s="5">
        <v>46033</v>
      </c>
      <c r="J276" s="5">
        <v>46041</v>
      </c>
      <c r="K276" s="6" t="s">
        <v>24</v>
      </c>
    </row>
    <row r="277" spans="1:11" ht="15.6" x14ac:dyDescent="0.3">
      <c r="A277" s="3">
        <v>1371</v>
      </c>
      <c r="B277" s="4" t="s">
        <v>48</v>
      </c>
      <c r="C277" s="4" t="s">
        <v>38</v>
      </c>
      <c r="D277" s="4" t="s">
        <v>18</v>
      </c>
      <c r="E277" s="4" t="s">
        <v>19</v>
      </c>
      <c r="F277" s="4">
        <v>19</v>
      </c>
      <c r="G277" s="4">
        <v>1087</v>
      </c>
      <c r="H277" s="4">
        <v>15</v>
      </c>
      <c r="I277" s="5">
        <v>46072</v>
      </c>
      <c r="J277" s="5">
        <v>46082</v>
      </c>
      <c r="K277" s="6" t="s">
        <v>20</v>
      </c>
    </row>
    <row r="278" spans="1:11" ht="15.6" x14ac:dyDescent="0.3">
      <c r="A278" s="3">
        <v>1265</v>
      </c>
      <c r="B278" s="4" t="s">
        <v>58</v>
      </c>
      <c r="C278" s="4" t="s">
        <v>22</v>
      </c>
      <c r="D278" s="4" t="s">
        <v>18</v>
      </c>
      <c r="E278" s="4" t="s">
        <v>19</v>
      </c>
      <c r="F278" s="4">
        <v>1</v>
      </c>
      <c r="G278" s="4">
        <v>1052</v>
      </c>
      <c r="H278" s="4">
        <v>7</v>
      </c>
      <c r="I278" s="5">
        <v>46117</v>
      </c>
      <c r="J278" s="5">
        <v>46127</v>
      </c>
      <c r="K278" s="6" t="s">
        <v>51</v>
      </c>
    </row>
    <row r="279" spans="1:11" ht="15.6" x14ac:dyDescent="0.3">
      <c r="A279" s="3">
        <v>1095</v>
      </c>
      <c r="B279" s="4" t="s">
        <v>47</v>
      </c>
      <c r="C279" s="4" t="s">
        <v>25</v>
      </c>
      <c r="D279" s="4" t="s">
        <v>34</v>
      </c>
      <c r="E279" s="4" t="s">
        <v>41</v>
      </c>
      <c r="F279" s="4">
        <v>18</v>
      </c>
      <c r="G279" s="4">
        <v>587</v>
      </c>
      <c r="H279" s="4">
        <v>2</v>
      </c>
      <c r="I279" s="5">
        <v>46167</v>
      </c>
      <c r="J279" s="5">
        <v>46171</v>
      </c>
      <c r="K279" s="6" t="s">
        <v>20</v>
      </c>
    </row>
    <row r="280" spans="1:11" ht="15.6" x14ac:dyDescent="0.3">
      <c r="A280" s="3">
        <v>1353</v>
      </c>
      <c r="B280" s="4" t="s">
        <v>47</v>
      </c>
      <c r="C280" s="4" t="s">
        <v>43</v>
      </c>
      <c r="D280" s="4" t="s">
        <v>13</v>
      </c>
      <c r="E280" s="4" t="s">
        <v>14</v>
      </c>
      <c r="F280" s="4">
        <v>6</v>
      </c>
      <c r="G280" s="4">
        <v>495</v>
      </c>
      <c r="H280" s="4">
        <v>2</v>
      </c>
      <c r="I280" s="5">
        <v>46194</v>
      </c>
      <c r="J280" s="5">
        <v>46200</v>
      </c>
      <c r="K280" s="6" t="s">
        <v>24</v>
      </c>
    </row>
    <row r="281" spans="1:11" ht="15.6" x14ac:dyDescent="0.3">
      <c r="A281" s="3">
        <v>1105</v>
      </c>
      <c r="B281" s="4" t="s">
        <v>59</v>
      </c>
      <c r="C281" s="4" t="s">
        <v>25</v>
      </c>
      <c r="D281" s="4" t="s">
        <v>13</v>
      </c>
      <c r="E281" s="4" t="s">
        <v>50</v>
      </c>
      <c r="F281" s="4">
        <v>2</v>
      </c>
      <c r="G281" s="4">
        <v>493</v>
      </c>
      <c r="H281" s="4">
        <v>12</v>
      </c>
      <c r="I281" s="5">
        <v>46057</v>
      </c>
      <c r="J281" s="5">
        <v>46066</v>
      </c>
      <c r="K281" s="6" t="s">
        <v>51</v>
      </c>
    </row>
    <row r="282" spans="1:11" ht="15.6" x14ac:dyDescent="0.3">
      <c r="A282" s="3">
        <v>1198</v>
      </c>
      <c r="B282" s="4" t="s">
        <v>58</v>
      </c>
      <c r="C282" s="4" t="s">
        <v>12</v>
      </c>
      <c r="D282" s="4" t="s">
        <v>13</v>
      </c>
      <c r="E282" s="4" t="s">
        <v>14</v>
      </c>
      <c r="F282" s="4">
        <v>12</v>
      </c>
      <c r="G282" s="4">
        <v>491</v>
      </c>
      <c r="H282" s="4">
        <v>2</v>
      </c>
      <c r="I282" s="5">
        <v>46106</v>
      </c>
      <c r="J282" s="5">
        <v>46109</v>
      </c>
      <c r="K282" s="6" t="s">
        <v>51</v>
      </c>
    </row>
    <row r="283" spans="1:11" ht="15.6" x14ac:dyDescent="0.3">
      <c r="A283" s="3">
        <v>1021</v>
      </c>
      <c r="B283" s="4" t="s">
        <v>48</v>
      </c>
      <c r="C283" s="4" t="s">
        <v>43</v>
      </c>
      <c r="D283" s="4" t="s">
        <v>13</v>
      </c>
      <c r="E283" s="4" t="s">
        <v>14</v>
      </c>
      <c r="F283" s="4">
        <v>3</v>
      </c>
      <c r="G283" s="4">
        <v>484</v>
      </c>
      <c r="H283" s="4">
        <v>2</v>
      </c>
      <c r="I283" s="5">
        <v>46144</v>
      </c>
      <c r="J283" s="5">
        <v>46148</v>
      </c>
      <c r="K283" s="6" t="s">
        <v>24</v>
      </c>
    </row>
    <row r="284" spans="1:11" ht="15.6" x14ac:dyDescent="0.3">
      <c r="A284" s="3">
        <v>1010</v>
      </c>
      <c r="B284" s="4" t="s">
        <v>11</v>
      </c>
      <c r="C284" s="4" t="s">
        <v>17</v>
      </c>
      <c r="D284" s="4" t="s">
        <v>13</v>
      </c>
      <c r="E284" s="4" t="s">
        <v>36</v>
      </c>
      <c r="F284" s="4">
        <v>14</v>
      </c>
      <c r="G284" s="4">
        <v>470</v>
      </c>
      <c r="H284" s="4">
        <v>5</v>
      </c>
      <c r="I284" s="5">
        <v>46062</v>
      </c>
      <c r="J284" s="5">
        <v>46068</v>
      </c>
      <c r="K284" s="6" t="s">
        <v>15</v>
      </c>
    </row>
    <row r="285" spans="1:11" ht="15.6" x14ac:dyDescent="0.3">
      <c r="A285" s="3">
        <v>1156</v>
      </c>
      <c r="B285" s="4" t="s">
        <v>54</v>
      </c>
      <c r="C285" s="4" t="s">
        <v>38</v>
      </c>
      <c r="D285" s="4" t="s">
        <v>13</v>
      </c>
      <c r="E285" s="4" t="s">
        <v>36</v>
      </c>
      <c r="F285" s="4">
        <v>5</v>
      </c>
      <c r="G285" s="4">
        <v>466</v>
      </c>
      <c r="H285" s="4">
        <v>15</v>
      </c>
      <c r="I285" s="5">
        <v>46025</v>
      </c>
      <c r="J285" s="5">
        <v>46029</v>
      </c>
      <c r="K285" s="6" t="s">
        <v>15</v>
      </c>
    </row>
    <row r="286" spans="1:11" ht="15.6" x14ac:dyDescent="0.3">
      <c r="A286" s="3">
        <v>1013</v>
      </c>
      <c r="B286" s="4" t="s">
        <v>16</v>
      </c>
      <c r="C286" s="4" t="s">
        <v>31</v>
      </c>
      <c r="D286" s="4" t="s">
        <v>13</v>
      </c>
      <c r="E286" s="4" t="s">
        <v>36</v>
      </c>
      <c r="F286" s="4">
        <v>17</v>
      </c>
      <c r="G286" s="4">
        <v>459</v>
      </c>
      <c r="H286" s="4">
        <v>12</v>
      </c>
      <c r="I286" s="5">
        <v>46095</v>
      </c>
      <c r="J286" s="5">
        <v>46105</v>
      </c>
      <c r="K286" s="6" t="s">
        <v>29</v>
      </c>
    </row>
    <row r="287" spans="1:11" ht="15.6" x14ac:dyDescent="0.3">
      <c r="A287" s="3">
        <v>1143</v>
      </c>
      <c r="B287" s="4" t="s">
        <v>29</v>
      </c>
      <c r="C287" s="4" t="s">
        <v>17</v>
      </c>
      <c r="D287" s="4" t="s">
        <v>13</v>
      </c>
      <c r="E287" s="4" t="s">
        <v>37</v>
      </c>
      <c r="F287" s="4">
        <v>13</v>
      </c>
      <c r="G287" s="4">
        <v>456</v>
      </c>
      <c r="H287" s="4">
        <v>2</v>
      </c>
      <c r="I287" s="5">
        <v>46160</v>
      </c>
      <c r="J287" s="5">
        <v>46167</v>
      </c>
      <c r="K287" s="6" t="s">
        <v>24</v>
      </c>
    </row>
    <row r="288" spans="1:11" ht="15.6" x14ac:dyDescent="0.3">
      <c r="A288" s="3">
        <v>1275</v>
      </c>
      <c r="B288" s="4" t="s">
        <v>16</v>
      </c>
      <c r="C288" s="4" t="s">
        <v>31</v>
      </c>
      <c r="D288" s="4" t="s">
        <v>13</v>
      </c>
      <c r="E288" s="4" t="s">
        <v>50</v>
      </c>
      <c r="F288" s="4">
        <v>20</v>
      </c>
      <c r="G288" s="4">
        <v>451</v>
      </c>
      <c r="H288" s="4">
        <v>15</v>
      </c>
      <c r="I288" s="5">
        <v>46092</v>
      </c>
      <c r="J288" s="5">
        <v>46094</v>
      </c>
      <c r="K288" s="6" t="s">
        <v>20</v>
      </c>
    </row>
    <row r="289" spans="1:11" ht="15.6" x14ac:dyDescent="0.3">
      <c r="A289" s="3">
        <v>1327</v>
      </c>
      <c r="B289" s="4" t="s">
        <v>48</v>
      </c>
      <c r="C289" s="4" t="s">
        <v>12</v>
      </c>
      <c r="D289" s="4" t="s">
        <v>13</v>
      </c>
      <c r="E289" s="4" t="s">
        <v>53</v>
      </c>
      <c r="F289" s="4">
        <v>15</v>
      </c>
      <c r="G289" s="4">
        <v>449</v>
      </c>
      <c r="H289" s="4">
        <v>5</v>
      </c>
      <c r="I289" s="5">
        <v>46152</v>
      </c>
      <c r="J289" s="5">
        <v>46153</v>
      </c>
      <c r="K289" s="6" t="s">
        <v>15</v>
      </c>
    </row>
    <row r="290" spans="1:11" ht="15.6" x14ac:dyDescent="0.3">
      <c r="A290" s="3">
        <v>1254</v>
      </c>
      <c r="B290" s="4" t="s">
        <v>52</v>
      </c>
      <c r="C290" s="4" t="s">
        <v>22</v>
      </c>
      <c r="D290" s="4" t="s">
        <v>13</v>
      </c>
      <c r="E290" s="4" t="s">
        <v>50</v>
      </c>
      <c r="F290" s="4">
        <v>18</v>
      </c>
      <c r="G290" s="4">
        <v>447</v>
      </c>
      <c r="H290" s="4">
        <v>15</v>
      </c>
      <c r="I290" s="5">
        <v>46141</v>
      </c>
      <c r="J290" s="5">
        <v>46149</v>
      </c>
      <c r="K290" s="6" t="s">
        <v>24</v>
      </c>
    </row>
    <row r="291" spans="1:11" ht="15.6" x14ac:dyDescent="0.3">
      <c r="A291" s="3">
        <v>1029</v>
      </c>
      <c r="B291" s="4" t="s">
        <v>30</v>
      </c>
      <c r="C291" s="4" t="s">
        <v>25</v>
      </c>
      <c r="D291" s="4" t="s">
        <v>13</v>
      </c>
      <c r="E291" s="4" t="s">
        <v>36</v>
      </c>
      <c r="F291" s="4">
        <v>18</v>
      </c>
      <c r="G291" s="4">
        <v>443</v>
      </c>
      <c r="H291" s="4">
        <v>5</v>
      </c>
      <c r="I291" s="5">
        <v>46046</v>
      </c>
      <c r="J291" s="5">
        <v>46054</v>
      </c>
      <c r="K291" s="6" t="s">
        <v>24</v>
      </c>
    </row>
    <row r="292" spans="1:11" ht="15.6" x14ac:dyDescent="0.3">
      <c r="A292" s="3">
        <v>1285</v>
      </c>
      <c r="B292" s="4" t="s">
        <v>32</v>
      </c>
      <c r="C292" s="4" t="s">
        <v>38</v>
      </c>
      <c r="D292" s="4" t="s">
        <v>13</v>
      </c>
      <c r="E292" s="4" t="s">
        <v>36</v>
      </c>
      <c r="F292" s="4">
        <v>7</v>
      </c>
      <c r="G292" s="4">
        <v>439</v>
      </c>
      <c r="H292" s="4">
        <v>15</v>
      </c>
      <c r="I292" s="5">
        <v>46055</v>
      </c>
      <c r="J292" s="5">
        <v>46058</v>
      </c>
      <c r="K292" s="6" t="s">
        <v>20</v>
      </c>
    </row>
    <row r="293" spans="1:11" ht="15.6" x14ac:dyDescent="0.3">
      <c r="A293" s="3">
        <v>1332</v>
      </c>
      <c r="B293" s="4" t="s">
        <v>29</v>
      </c>
      <c r="C293" s="4" t="s">
        <v>43</v>
      </c>
      <c r="D293" s="4" t="s">
        <v>13</v>
      </c>
      <c r="E293" s="4" t="s">
        <v>50</v>
      </c>
      <c r="F293" s="4">
        <v>7</v>
      </c>
      <c r="G293" s="4">
        <v>439</v>
      </c>
      <c r="H293" s="4">
        <v>2</v>
      </c>
      <c r="I293" s="5">
        <v>46154</v>
      </c>
      <c r="J293" s="5">
        <v>46157</v>
      </c>
      <c r="K293" s="6" t="s">
        <v>15</v>
      </c>
    </row>
    <row r="294" spans="1:11" ht="15.6" x14ac:dyDescent="0.3">
      <c r="A294" s="3">
        <v>1120</v>
      </c>
      <c r="B294" s="4" t="s">
        <v>32</v>
      </c>
      <c r="C294" s="4" t="s">
        <v>38</v>
      </c>
      <c r="D294" s="4" t="s">
        <v>13</v>
      </c>
      <c r="E294" s="4" t="s">
        <v>36</v>
      </c>
      <c r="F294" s="4">
        <v>10</v>
      </c>
      <c r="G294" s="4">
        <v>438</v>
      </c>
      <c r="H294" s="4">
        <v>10</v>
      </c>
      <c r="I294" s="5">
        <v>46061</v>
      </c>
      <c r="J294" s="5">
        <v>46065</v>
      </c>
      <c r="K294" s="6" t="s">
        <v>51</v>
      </c>
    </row>
    <row r="295" spans="1:11" ht="15.6" x14ac:dyDescent="0.3">
      <c r="A295" s="3">
        <v>1028</v>
      </c>
      <c r="B295" s="4" t="s">
        <v>47</v>
      </c>
      <c r="C295" s="4" t="s">
        <v>22</v>
      </c>
      <c r="D295" s="4" t="s">
        <v>13</v>
      </c>
      <c r="E295" s="4" t="s">
        <v>36</v>
      </c>
      <c r="F295" s="4">
        <v>13</v>
      </c>
      <c r="G295" s="4">
        <v>433</v>
      </c>
      <c r="H295" s="4">
        <v>2</v>
      </c>
      <c r="I295" s="5">
        <v>46116</v>
      </c>
      <c r="J295" s="5">
        <v>46121</v>
      </c>
      <c r="K295" s="6" t="s">
        <v>24</v>
      </c>
    </row>
    <row r="296" spans="1:11" ht="15.6" x14ac:dyDescent="0.3">
      <c r="A296" s="3">
        <v>1376</v>
      </c>
      <c r="B296" s="4" t="s">
        <v>52</v>
      </c>
      <c r="C296" s="4" t="s">
        <v>31</v>
      </c>
      <c r="D296" s="4" t="s">
        <v>13</v>
      </c>
      <c r="E296" s="4" t="s">
        <v>50</v>
      </c>
      <c r="F296" s="4">
        <v>20</v>
      </c>
      <c r="G296" s="4">
        <v>429</v>
      </c>
      <c r="H296" s="4">
        <v>5</v>
      </c>
      <c r="I296" s="5">
        <v>46178</v>
      </c>
      <c r="J296" s="5">
        <v>46184</v>
      </c>
      <c r="K296" s="6" t="s">
        <v>20</v>
      </c>
    </row>
    <row r="297" spans="1:11" ht="15.6" x14ac:dyDescent="0.3">
      <c r="A297" s="3">
        <v>1165</v>
      </c>
      <c r="B297" s="4" t="s">
        <v>48</v>
      </c>
      <c r="C297" s="4" t="s">
        <v>25</v>
      </c>
      <c r="D297" s="4" t="s">
        <v>13</v>
      </c>
      <c r="E297" s="4" t="s">
        <v>37</v>
      </c>
      <c r="F297" s="4">
        <v>1</v>
      </c>
      <c r="G297" s="4">
        <v>427</v>
      </c>
      <c r="H297" s="4">
        <v>0</v>
      </c>
      <c r="I297" s="5">
        <v>46042</v>
      </c>
      <c r="J297" s="5">
        <v>46050</v>
      </c>
      <c r="K297" s="6" t="s">
        <v>51</v>
      </c>
    </row>
    <row r="298" spans="1:11" ht="15.6" x14ac:dyDescent="0.3">
      <c r="A298" s="3">
        <v>1284</v>
      </c>
      <c r="B298" s="4" t="s">
        <v>40</v>
      </c>
      <c r="C298" s="4" t="s">
        <v>25</v>
      </c>
      <c r="D298" s="4" t="s">
        <v>13</v>
      </c>
      <c r="E298" s="4" t="s">
        <v>37</v>
      </c>
      <c r="F298" s="4">
        <v>16</v>
      </c>
      <c r="G298" s="4">
        <v>419</v>
      </c>
      <c r="H298" s="4">
        <v>2</v>
      </c>
      <c r="I298" s="5">
        <v>46082</v>
      </c>
      <c r="J298" s="5">
        <v>46090</v>
      </c>
      <c r="K298" s="6" t="s">
        <v>15</v>
      </c>
    </row>
    <row r="299" spans="1:11" ht="15.6" x14ac:dyDescent="0.3">
      <c r="A299" s="3">
        <v>1204</v>
      </c>
      <c r="B299" s="4" t="s">
        <v>16</v>
      </c>
      <c r="C299" s="4" t="s">
        <v>31</v>
      </c>
      <c r="D299" s="4" t="s">
        <v>13</v>
      </c>
      <c r="E299" s="4" t="s">
        <v>37</v>
      </c>
      <c r="F299" s="4">
        <v>13</v>
      </c>
      <c r="G299" s="4">
        <v>416</v>
      </c>
      <c r="H299" s="4">
        <v>10</v>
      </c>
      <c r="I299" s="5">
        <v>46123</v>
      </c>
      <c r="J299" s="5">
        <v>46132</v>
      </c>
      <c r="K299" s="6" t="s">
        <v>20</v>
      </c>
    </row>
    <row r="300" spans="1:11" ht="15.6" x14ac:dyDescent="0.3">
      <c r="A300" s="3">
        <v>1333</v>
      </c>
      <c r="B300" s="4" t="s">
        <v>29</v>
      </c>
      <c r="C300" s="4" t="s">
        <v>38</v>
      </c>
      <c r="D300" s="4" t="s">
        <v>13</v>
      </c>
      <c r="E300" s="4" t="s">
        <v>53</v>
      </c>
      <c r="F300" s="4">
        <v>20</v>
      </c>
      <c r="G300" s="4">
        <v>416</v>
      </c>
      <c r="H300" s="4">
        <v>12</v>
      </c>
      <c r="I300" s="5">
        <v>46145</v>
      </c>
      <c r="J300" s="5">
        <v>46146</v>
      </c>
      <c r="K300" s="6" t="s">
        <v>51</v>
      </c>
    </row>
    <row r="301" spans="1:11" ht="15.6" x14ac:dyDescent="0.3">
      <c r="A301" s="3">
        <v>1291</v>
      </c>
      <c r="B301" s="4" t="s">
        <v>21</v>
      </c>
      <c r="C301" s="4" t="s">
        <v>17</v>
      </c>
      <c r="D301" s="4" t="s">
        <v>13</v>
      </c>
      <c r="E301" s="4" t="s">
        <v>36</v>
      </c>
      <c r="F301" s="4">
        <v>17</v>
      </c>
      <c r="G301" s="4">
        <v>415</v>
      </c>
      <c r="H301" s="4">
        <v>5</v>
      </c>
      <c r="I301" s="5">
        <v>46137</v>
      </c>
      <c r="J301" s="5">
        <v>46141</v>
      </c>
      <c r="K301" s="6" t="s">
        <v>20</v>
      </c>
    </row>
    <row r="302" spans="1:11" ht="15.6" x14ac:dyDescent="0.3">
      <c r="A302" s="3">
        <v>1380</v>
      </c>
      <c r="B302" s="4" t="s">
        <v>52</v>
      </c>
      <c r="C302" s="4" t="s">
        <v>43</v>
      </c>
      <c r="D302" s="4" t="s">
        <v>13</v>
      </c>
      <c r="E302" s="4" t="s">
        <v>53</v>
      </c>
      <c r="F302" s="4">
        <v>3</v>
      </c>
      <c r="G302" s="4">
        <v>412</v>
      </c>
      <c r="H302" s="4">
        <v>7</v>
      </c>
      <c r="I302" s="5">
        <v>46128</v>
      </c>
      <c r="J302" s="5">
        <v>46138</v>
      </c>
      <c r="K302" s="6" t="s">
        <v>24</v>
      </c>
    </row>
    <row r="303" spans="1:11" ht="15.6" x14ac:dyDescent="0.3">
      <c r="A303" s="3">
        <v>1256</v>
      </c>
      <c r="B303" s="4" t="s">
        <v>48</v>
      </c>
      <c r="C303" s="4" t="s">
        <v>31</v>
      </c>
      <c r="D303" s="4" t="s">
        <v>13</v>
      </c>
      <c r="E303" s="4" t="s">
        <v>50</v>
      </c>
      <c r="F303" s="4">
        <v>19</v>
      </c>
      <c r="G303" s="4">
        <v>406</v>
      </c>
      <c r="H303" s="4">
        <v>7</v>
      </c>
      <c r="I303" s="5">
        <v>46057</v>
      </c>
      <c r="J303" s="5">
        <v>46061</v>
      </c>
      <c r="K303" s="6" t="s">
        <v>15</v>
      </c>
    </row>
    <row r="304" spans="1:11" ht="15.6" x14ac:dyDescent="0.3">
      <c r="A304" s="3">
        <v>1248</v>
      </c>
      <c r="B304" s="4" t="s">
        <v>27</v>
      </c>
      <c r="C304" s="4" t="s">
        <v>43</v>
      </c>
      <c r="D304" s="4" t="s">
        <v>13</v>
      </c>
      <c r="E304" s="4" t="s">
        <v>37</v>
      </c>
      <c r="F304" s="4">
        <v>5</v>
      </c>
      <c r="G304" s="4">
        <v>398</v>
      </c>
      <c r="H304" s="4">
        <v>7</v>
      </c>
      <c r="I304" s="5">
        <v>46161</v>
      </c>
      <c r="J304" s="5">
        <v>46171</v>
      </c>
      <c r="K304" s="6" t="s">
        <v>29</v>
      </c>
    </row>
    <row r="305" spans="1:11" ht="15.6" x14ac:dyDescent="0.3">
      <c r="A305" s="3">
        <v>1083</v>
      </c>
      <c r="B305" s="4" t="s">
        <v>55</v>
      </c>
      <c r="C305" s="4" t="s">
        <v>33</v>
      </c>
      <c r="D305" s="4" t="s">
        <v>13</v>
      </c>
      <c r="E305" s="4" t="s">
        <v>53</v>
      </c>
      <c r="F305" s="4">
        <v>4</v>
      </c>
      <c r="G305" s="4">
        <v>397</v>
      </c>
      <c r="H305" s="4">
        <v>7</v>
      </c>
      <c r="I305" s="5">
        <v>46185</v>
      </c>
      <c r="J305" s="5">
        <v>46193</v>
      </c>
      <c r="K305" s="6" t="s">
        <v>15</v>
      </c>
    </row>
    <row r="306" spans="1:11" ht="15.6" x14ac:dyDescent="0.3">
      <c r="A306" s="3">
        <v>1166</v>
      </c>
      <c r="B306" s="4" t="s">
        <v>32</v>
      </c>
      <c r="C306" s="4" t="s">
        <v>31</v>
      </c>
      <c r="D306" s="4" t="s">
        <v>13</v>
      </c>
      <c r="E306" s="4" t="s">
        <v>37</v>
      </c>
      <c r="F306" s="4">
        <v>1</v>
      </c>
      <c r="G306" s="4">
        <v>396</v>
      </c>
      <c r="H306" s="4">
        <v>5</v>
      </c>
      <c r="I306" s="5">
        <v>46092</v>
      </c>
      <c r="J306" s="5">
        <v>46093</v>
      </c>
      <c r="K306" s="6" t="s">
        <v>20</v>
      </c>
    </row>
    <row r="307" spans="1:11" ht="15.6" x14ac:dyDescent="0.3">
      <c r="A307" s="3">
        <v>1074</v>
      </c>
      <c r="B307" s="4" t="s">
        <v>26</v>
      </c>
      <c r="C307" s="4" t="s">
        <v>31</v>
      </c>
      <c r="D307" s="4" t="s">
        <v>13</v>
      </c>
      <c r="E307" s="4" t="s">
        <v>50</v>
      </c>
      <c r="F307" s="4">
        <v>11</v>
      </c>
      <c r="G307" s="4">
        <v>390</v>
      </c>
      <c r="H307" s="4">
        <v>15</v>
      </c>
      <c r="I307" s="5">
        <v>46114</v>
      </c>
      <c r="J307" s="5">
        <v>46123</v>
      </c>
      <c r="K307" s="6" t="s">
        <v>29</v>
      </c>
    </row>
    <row r="308" spans="1:11" ht="15.6" x14ac:dyDescent="0.3">
      <c r="A308" s="3">
        <v>1087</v>
      </c>
      <c r="B308" s="4" t="s">
        <v>11</v>
      </c>
      <c r="C308" s="4" t="s">
        <v>31</v>
      </c>
      <c r="D308" s="4" t="s">
        <v>13</v>
      </c>
      <c r="E308" s="4" t="s">
        <v>37</v>
      </c>
      <c r="F308" s="4">
        <v>13</v>
      </c>
      <c r="G308" s="4">
        <v>387</v>
      </c>
      <c r="H308" s="4">
        <v>7</v>
      </c>
      <c r="I308" s="5">
        <v>46171</v>
      </c>
      <c r="J308" s="5">
        <v>46176</v>
      </c>
      <c r="K308" s="6" t="s">
        <v>24</v>
      </c>
    </row>
    <row r="309" spans="1:11" ht="15.6" x14ac:dyDescent="0.3">
      <c r="A309" s="3">
        <v>1337</v>
      </c>
      <c r="B309" s="4" t="s">
        <v>16</v>
      </c>
      <c r="C309" s="4" t="s">
        <v>12</v>
      </c>
      <c r="D309" s="4" t="s">
        <v>13</v>
      </c>
      <c r="E309" s="4" t="s">
        <v>53</v>
      </c>
      <c r="F309" s="4">
        <v>14</v>
      </c>
      <c r="G309" s="4">
        <v>373</v>
      </c>
      <c r="H309" s="4">
        <v>10</v>
      </c>
      <c r="I309" s="5">
        <v>46074</v>
      </c>
      <c r="J309" s="5">
        <v>46080</v>
      </c>
      <c r="K309" s="6" t="s">
        <v>29</v>
      </c>
    </row>
    <row r="310" spans="1:11" ht="15.6" x14ac:dyDescent="0.3">
      <c r="A310" s="3">
        <v>1367</v>
      </c>
      <c r="B310" s="4" t="s">
        <v>54</v>
      </c>
      <c r="C310" s="4" t="s">
        <v>25</v>
      </c>
      <c r="D310" s="4" t="s">
        <v>13</v>
      </c>
      <c r="E310" s="4" t="s">
        <v>53</v>
      </c>
      <c r="F310" s="4">
        <v>1</v>
      </c>
      <c r="G310" s="4">
        <v>371</v>
      </c>
      <c r="H310" s="4">
        <v>5</v>
      </c>
      <c r="I310" s="5">
        <v>46158</v>
      </c>
      <c r="J310" s="5">
        <v>46168</v>
      </c>
      <c r="K310" s="6" t="s">
        <v>29</v>
      </c>
    </row>
    <row r="311" spans="1:11" ht="15.6" x14ac:dyDescent="0.3">
      <c r="A311" s="3">
        <v>1304</v>
      </c>
      <c r="B311" s="4" t="s">
        <v>59</v>
      </c>
      <c r="C311" s="4" t="s">
        <v>25</v>
      </c>
      <c r="D311" s="4" t="s">
        <v>13</v>
      </c>
      <c r="E311" s="4" t="s">
        <v>36</v>
      </c>
      <c r="F311" s="4">
        <v>20</v>
      </c>
      <c r="G311" s="4">
        <v>368</v>
      </c>
      <c r="H311" s="4">
        <v>7</v>
      </c>
      <c r="I311" s="5">
        <v>46042</v>
      </c>
      <c r="J311" s="5">
        <v>46051</v>
      </c>
      <c r="K311" s="6" t="s">
        <v>51</v>
      </c>
    </row>
    <row r="312" spans="1:11" ht="15.6" x14ac:dyDescent="0.3">
      <c r="A312" s="3">
        <v>1266</v>
      </c>
      <c r="B312" s="4" t="s">
        <v>29</v>
      </c>
      <c r="C312" s="4" t="s">
        <v>33</v>
      </c>
      <c r="D312" s="4" t="s">
        <v>13</v>
      </c>
      <c r="E312" s="4" t="s">
        <v>14</v>
      </c>
      <c r="F312" s="4">
        <v>17</v>
      </c>
      <c r="G312" s="4">
        <v>365</v>
      </c>
      <c r="H312" s="4">
        <v>2</v>
      </c>
      <c r="I312" s="5">
        <v>46096</v>
      </c>
      <c r="J312" s="5">
        <v>46104</v>
      </c>
      <c r="K312" s="6" t="s">
        <v>51</v>
      </c>
    </row>
    <row r="313" spans="1:11" ht="15.6" x14ac:dyDescent="0.3">
      <c r="A313" s="3">
        <v>1357</v>
      </c>
      <c r="B313" s="4" t="s">
        <v>59</v>
      </c>
      <c r="C313" s="4" t="s">
        <v>25</v>
      </c>
      <c r="D313" s="4" t="s">
        <v>13</v>
      </c>
      <c r="E313" s="4" t="s">
        <v>37</v>
      </c>
      <c r="F313" s="4">
        <v>6</v>
      </c>
      <c r="G313" s="4">
        <v>365</v>
      </c>
      <c r="H313" s="4">
        <v>7</v>
      </c>
      <c r="I313" s="5">
        <v>46133</v>
      </c>
      <c r="J313" s="5">
        <v>46140</v>
      </c>
      <c r="K313" s="6" t="s">
        <v>51</v>
      </c>
    </row>
    <row r="314" spans="1:11" ht="15.6" x14ac:dyDescent="0.3">
      <c r="A314" s="3">
        <v>1050</v>
      </c>
      <c r="B314" s="4" t="s">
        <v>32</v>
      </c>
      <c r="C314" s="4" t="s">
        <v>25</v>
      </c>
      <c r="D314" s="4" t="s">
        <v>13</v>
      </c>
      <c r="E314" s="4" t="s">
        <v>53</v>
      </c>
      <c r="F314" s="4">
        <v>12</v>
      </c>
      <c r="G314" s="4">
        <v>360</v>
      </c>
      <c r="H314" s="4">
        <v>5</v>
      </c>
      <c r="I314" s="5">
        <v>46127</v>
      </c>
      <c r="J314" s="5">
        <v>46137</v>
      </c>
      <c r="K314" s="6" t="s">
        <v>29</v>
      </c>
    </row>
    <row r="315" spans="1:11" ht="15.6" x14ac:dyDescent="0.3">
      <c r="A315" s="3">
        <v>1181</v>
      </c>
      <c r="B315" s="4" t="s">
        <v>58</v>
      </c>
      <c r="C315" s="4" t="s">
        <v>33</v>
      </c>
      <c r="D315" s="4" t="s">
        <v>13</v>
      </c>
      <c r="E315" s="4" t="s">
        <v>36</v>
      </c>
      <c r="F315" s="4">
        <v>4</v>
      </c>
      <c r="G315" s="4">
        <v>357</v>
      </c>
      <c r="H315" s="4">
        <v>2</v>
      </c>
      <c r="I315" s="5">
        <v>46033</v>
      </c>
      <c r="J315" s="5">
        <v>46035</v>
      </c>
      <c r="K315" s="6" t="s">
        <v>15</v>
      </c>
    </row>
    <row r="316" spans="1:11" ht="15.6" x14ac:dyDescent="0.3">
      <c r="A316" s="3">
        <v>1210</v>
      </c>
      <c r="B316" s="4" t="s">
        <v>30</v>
      </c>
      <c r="C316" s="4" t="s">
        <v>31</v>
      </c>
      <c r="D316" s="4" t="s">
        <v>13</v>
      </c>
      <c r="E316" s="4" t="s">
        <v>53</v>
      </c>
      <c r="F316" s="4">
        <v>10</v>
      </c>
      <c r="G316" s="4">
        <v>349</v>
      </c>
      <c r="H316" s="4">
        <v>0</v>
      </c>
      <c r="I316" s="5">
        <v>46052</v>
      </c>
      <c r="J316" s="5">
        <v>46060</v>
      </c>
      <c r="K316" s="6" t="s">
        <v>29</v>
      </c>
    </row>
    <row r="317" spans="1:11" ht="15.6" x14ac:dyDescent="0.3">
      <c r="A317" s="3">
        <v>1098</v>
      </c>
      <c r="B317" s="4" t="s">
        <v>26</v>
      </c>
      <c r="C317" s="4" t="s">
        <v>25</v>
      </c>
      <c r="D317" s="4" t="s">
        <v>13</v>
      </c>
      <c r="E317" s="4" t="s">
        <v>53</v>
      </c>
      <c r="F317" s="4">
        <v>17</v>
      </c>
      <c r="G317" s="4">
        <v>345</v>
      </c>
      <c r="H317" s="4">
        <v>2</v>
      </c>
      <c r="I317" s="5">
        <v>46126</v>
      </c>
      <c r="J317" s="5">
        <v>46127</v>
      </c>
      <c r="K317" s="6" t="s">
        <v>51</v>
      </c>
    </row>
    <row r="318" spans="1:11" ht="15.6" x14ac:dyDescent="0.3">
      <c r="A318" s="3">
        <v>1170</v>
      </c>
      <c r="B318" s="4" t="s">
        <v>49</v>
      </c>
      <c r="C318" s="4" t="s">
        <v>38</v>
      </c>
      <c r="D318" s="4" t="s">
        <v>13</v>
      </c>
      <c r="E318" s="4" t="s">
        <v>14</v>
      </c>
      <c r="F318" s="4">
        <v>6</v>
      </c>
      <c r="G318" s="4">
        <v>339</v>
      </c>
      <c r="H318" s="4">
        <v>12</v>
      </c>
      <c r="I318" s="5">
        <v>46105</v>
      </c>
      <c r="J318" s="5">
        <v>46106</v>
      </c>
      <c r="K318" s="6" t="s">
        <v>24</v>
      </c>
    </row>
    <row r="319" spans="1:11" ht="15.6" x14ac:dyDescent="0.3">
      <c r="A319" s="3">
        <v>1370</v>
      </c>
      <c r="B319" s="4" t="s">
        <v>59</v>
      </c>
      <c r="C319" s="4" t="s">
        <v>38</v>
      </c>
      <c r="D319" s="4" t="s">
        <v>13</v>
      </c>
      <c r="E319" s="4" t="s">
        <v>53</v>
      </c>
      <c r="F319" s="4">
        <v>13</v>
      </c>
      <c r="G319" s="4">
        <v>337</v>
      </c>
      <c r="H319" s="4">
        <v>7</v>
      </c>
      <c r="I319" s="5">
        <v>46184</v>
      </c>
      <c r="J319" s="5">
        <v>46188</v>
      </c>
      <c r="K319" s="6" t="s">
        <v>15</v>
      </c>
    </row>
    <row r="320" spans="1:11" ht="15.6" x14ac:dyDescent="0.3">
      <c r="A320" s="3">
        <v>1030</v>
      </c>
      <c r="B320" s="4" t="s">
        <v>52</v>
      </c>
      <c r="C320" s="4" t="s">
        <v>12</v>
      </c>
      <c r="D320" s="4" t="s">
        <v>13</v>
      </c>
      <c r="E320" s="4" t="s">
        <v>53</v>
      </c>
      <c r="F320" s="4">
        <v>13</v>
      </c>
      <c r="G320" s="4">
        <v>336</v>
      </c>
      <c r="H320" s="4">
        <v>10</v>
      </c>
      <c r="I320" s="5">
        <v>46098</v>
      </c>
      <c r="J320" s="5">
        <v>46108</v>
      </c>
      <c r="K320" s="6" t="s">
        <v>15</v>
      </c>
    </row>
    <row r="321" spans="1:11" ht="15.6" x14ac:dyDescent="0.3">
      <c r="A321" s="3">
        <v>1247</v>
      </c>
      <c r="B321" s="4" t="s">
        <v>26</v>
      </c>
      <c r="C321" s="4" t="s">
        <v>12</v>
      </c>
      <c r="D321" s="4" t="s">
        <v>13</v>
      </c>
      <c r="E321" s="4" t="s">
        <v>50</v>
      </c>
      <c r="F321" s="4">
        <v>10</v>
      </c>
      <c r="G321" s="4">
        <v>336</v>
      </c>
      <c r="H321" s="4">
        <v>7</v>
      </c>
      <c r="I321" s="5">
        <v>46173</v>
      </c>
      <c r="J321" s="5">
        <v>46175</v>
      </c>
      <c r="K321" s="6" t="s">
        <v>20</v>
      </c>
    </row>
    <row r="322" spans="1:11" ht="15.6" x14ac:dyDescent="0.3">
      <c r="A322" s="3">
        <v>1168</v>
      </c>
      <c r="B322" s="4" t="s">
        <v>54</v>
      </c>
      <c r="C322" s="4" t="s">
        <v>12</v>
      </c>
      <c r="D322" s="4" t="s">
        <v>13</v>
      </c>
      <c r="E322" s="4" t="s">
        <v>37</v>
      </c>
      <c r="F322" s="4">
        <v>18</v>
      </c>
      <c r="G322" s="4">
        <v>335</v>
      </c>
      <c r="H322" s="4">
        <v>15</v>
      </c>
      <c r="I322" s="5">
        <v>46130</v>
      </c>
      <c r="J322" s="5">
        <v>46140</v>
      </c>
      <c r="K322" s="6" t="s">
        <v>29</v>
      </c>
    </row>
    <row r="323" spans="1:11" ht="15.6" x14ac:dyDescent="0.3">
      <c r="A323" s="3">
        <v>1383</v>
      </c>
      <c r="B323" s="4" t="s">
        <v>32</v>
      </c>
      <c r="C323" s="4" t="s">
        <v>12</v>
      </c>
      <c r="D323" s="4" t="s">
        <v>13</v>
      </c>
      <c r="E323" s="4" t="s">
        <v>53</v>
      </c>
      <c r="F323" s="4">
        <v>14</v>
      </c>
      <c r="G323" s="4">
        <v>334</v>
      </c>
      <c r="H323" s="4">
        <v>10</v>
      </c>
      <c r="I323" s="5">
        <v>46196</v>
      </c>
      <c r="J323" s="5">
        <v>46203</v>
      </c>
      <c r="K323" s="6" t="s">
        <v>15</v>
      </c>
    </row>
    <row r="324" spans="1:11" ht="15.6" x14ac:dyDescent="0.3">
      <c r="A324" s="3">
        <v>1306</v>
      </c>
      <c r="B324" s="4" t="s">
        <v>54</v>
      </c>
      <c r="C324" s="4" t="s">
        <v>43</v>
      </c>
      <c r="D324" s="4" t="s">
        <v>13</v>
      </c>
      <c r="E324" s="4" t="s">
        <v>36</v>
      </c>
      <c r="F324" s="4">
        <v>1</v>
      </c>
      <c r="G324" s="4">
        <v>332</v>
      </c>
      <c r="H324" s="4">
        <v>0</v>
      </c>
      <c r="I324" s="5">
        <v>46191</v>
      </c>
      <c r="J324" s="5">
        <v>46194</v>
      </c>
      <c r="K324" s="6" t="s">
        <v>20</v>
      </c>
    </row>
    <row r="325" spans="1:11" ht="15.6" x14ac:dyDescent="0.3">
      <c r="A325" s="3">
        <v>1026</v>
      </c>
      <c r="B325" s="4" t="s">
        <v>49</v>
      </c>
      <c r="C325" s="4" t="s">
        <v>31</v>
      </c>
      <c r="D325" s="4" t="s">
        <v>13</v>
      </c>
      <c r="E325" s="4" t="s">
        <v>50</v>
      </c>
      <c r="F325" s="4">
        <v>17</v>
      </c>
      <c r="G325" s="4">
        <v>323</v>
      </c>
      <c r="H325" s="4">
        <v>10</v>
      </c>
      <c r="I325" s="5">
        <v>46039</v>
      </c>
      <c r="J325" s="5">
        <v>46040</v>
      </c>
      <c r="K325" s="6" t="s">
        <v>29</v>
      </c>
    </row>
    <row r="326" spans="1:11" ht="15.6" x14ac:dyDescent="0.3">
      <c r="A326" s="3">
        <v>1195</v>
      </c>
      <c r="B326" s="4" t="s">
        <v>59</v>
      </c>
      <c r="C326" s="4" t="s">
        <v>17</v>
      </c>
      <c r="D326" s="4" t="s">
        <v>13</v>
      </c>
      <c r="E326" s="4" t="s">
        <v>50</v>
      </c>
      <c r="F326" s="4">
        <v>19</v>
      </c>
      <c r="G326" s="4">
        <v>313</v>
      </c>
      <c r="H326" s="4">
        <v>2</v>
      </c>
      <c r="I326" s="5">
        <v>46198</v>
      </c>
      <c r="J326" s="5">
        <v>46206</v>
      </c>
      <c r="K326" s="6" t="s">
        <v>51</v>
      </c>
    </row>
    <row r="327" spans="1:11" ht="15.6" x14ac:dyDescent="0.3">
      <c r="A327" s="3">
        <v>1183</v>
      </c>
      <c r="B327" s="4" t="s">
        <v>52</v>
      </c>
      <c r="C327" s="4" t="s">
        <v>43</v>
      </c>
      <c r="D327" s="4" t="s">
        <v>13</v>
      </c>
      <c r="E327" s="4" t="s">
        <v>14</v>
      </c>
      <c r="F327" s="4">
        <v>2</v>
      </c>
      <c r="G327" s="4">
        <v>309</v>
      </c>
      <c r="H327" s="4">
        <v>2</v>
      </c>
      <c r="I327" s="5">
        <v>46109</v>
      </c>
      <c r="J327" s="5">
        <v>46111</v>
      </c>
      <c r="K327" s="6" t="s">
        <v>20</v>
      </c>
    </row>
    <row r="328" spans="1:11" ht="15.6" x14ac:dyDescent="0.3">
      <c r="A328" s="3">
        <v>1091</v>
      </c>
      <c r="B328" s="4" t="s">
        <v>55</v>
      </c>
      <c r="C328" s="4" t="s">
        <v>17</v>
      </c>
      <c r="D328" s="4" t="s">
        <v>13</v>
      </c>
      <c r="E328" s="4" t="s">
        <v>53</v>
      </c>
      <c r="F328" s="4">
        <v>2</v>
      </c>
      <c r="G328" s="4">
        <v>305</v>
      </c>
      <c r="H328" s="4">
        <v>0</v>
      </c>
      <c r="I328" s="5">
        <v>46136</v>
      </c>
      <c r="J328" s="5">
        <v>46144</v>
      </c>
      <c r="K328" s="6" t="s">
        <v>15</v>
      </c>
    </row>
    <row r="329" spans="1:11" ht="15.6" x14ac:dyDescent="0.3">
      <c r="A329" s="3">
        <v>1115</v>
      </c>
      <c r="B329" s="4" t="s">
        <v>59</v>
      </c>
      <c r="C329" s="4" t="s">
        <v>43</v>
      </c>
      <c r="D329" s="4" t="s">
        <v>13</v>
      </c>
      <c r="E329" s="4" t="s">
        <v>50</v>
      </c>
      <c r="F329" s="4">
        <v>9</v>
      </c>
      <c r="G329" s="4">
        <v>303</v>
      </c>
      <c r="H329" s="4">
        <v>10</v>
      </c>
      <c r="I329" s="5">
        <v>46149</v>
      </c>
      <c r="J329" s="5">
        <v>46157</v>
      </c>
      <c r="K329" s="6" t="s">
        <v>29</v>
      </c>
    </row>
    <row r="330" spans="1:11" ht="15.6" x14ac:dyDescent="0.3">
      <c r="A330" s="3">
        <v>1339</v>
      </c>
      <c r="B330" s="4" t="s">
        <v>32</v>
      </c>
      <c r="C330" s="4" t="s">
        <v>25</v>
      </c>
      <c r="D330" s="4" t="s">
        <v>13</v>
      </c>
      <c r="E330" s="4" t="s">
        <v>14</v>
      </c>
      <c r="F330" s="4">
        <v>6</v>
      </c>
      <c r="G330" s="4">
        <v>302</v>
      </c>
      <c r="H330" s="4">
        <v>5</v>
      </c>
      <c r="I330" s="5">
        <v>46142</v>
      </c>
      <c r="J330" s="5">
        <v>46148</v>
      </c>
      <c r="K330" s="6" t="s">
        <v>20</v>
      </c>
    </row>
    <row r="331" spans="1:11" ht="15.6" x14ac:dyDescent="0.3">
      <c r="A331" s="3">
        <v>1018</v>
      </c>
      <c r="B331" s="4" t="s">
        <v>47</v>
      </c>
      <c r="C331" s="4" t="s">
        <v>25</v>
      </c>
      <c r="D331" s="4" t="s">
        <v>13</v>
      </c>
      <c r="E331" s="4" t="s">
        <v>14</v>
      </c>
      <c r="F331" s="4">
        <v>20</v>
      </c>
      <c r="G331" s="4">
        <v>301</v>
      </c>
      <c r="H331" s="4">
        <v>0</v>
      </c>
      <c r="I331" s="5">
        <v>46089</v>
      </c>
      <c r="J331" s="5">
        <v>46094</v>
      </c>
      <c r="K331" s="6" t="s">
        <v>29</v>
      </c>
    </row>
    <row r="332" spans="1:11" ht="15.6" x14ac:dyDescent="0.3">
      <c r="A332" s="3">
        <v>1100</v>
      </c>
      <c r="B332" s="4" t="s">
        <v>11</v>
      </c>
      <c r="C332" s="4" t="s">
        <v>31</v>
      </c>
      <c r="D332" s="4" t="s">
        <v>13</v>
      </c>
      <c r="E332" s="4" t="s">
        <v>14</v>
      </c>
      <c r="F332" s="4">
        <v>11</v>
      </c>
      <c r="G332" s="4">
        <v>296</v>
      </c>
      <c r="H332" s="4">
        <v>10</v>
      </c>
      <c r="I332" s="5">
        <v>46027</v>
      </c>
      <c r="J332" s="5">
        <v>46031</v>
      </c>
      <c r="K332" s="6" t="s">
        <v>51</v>
      </c>
    </row>
    <row r="333" spans="1:11" ht="15.6" x14ac:dyDescent="0.3">
      <c r="A333" s="3">
        <v>1277</v>
      </c>
      <c r="B333" s="4" t="s">
        <v>59</v>
      </c>
      <c r="C333" s="4" t="s">
        <v>17</v>
      </c>
      <c r="D333" s="4" t="s">
        <v>13</v>
      </c>
      <c r="E333" s="4" t="s">
        <v>36</v>
      </c>
      <c r="F333" s="4">
        <v>14</v>
      </c>
      <c r="G333" s="4">
        <v>276</v>
      </c>
      <c r="H333" s="4">
        <v>0</v>
      </c>
      <c r="I333" s="5">
        <v>46086</v>
      </c>
      <c r="J333" s="5">
        <v>46089</v>
      </c>
      <c r="K333" s="6" t="s">
        <v>15</v>
      </c>
    </row>
    <row r="334" spans="1:11" ht="15.6" x14ac:dyDescent="0.3">
      <c r="A334" s="3">
        <v>1151</v>
      </c>
      <c r="B334" s="4" t="s">
        <v>46</v>
      </c>
      <c r="C334" s="4" t="s">
        <v>43</v>
      </c>
      <c r="D334" s="4" t="s">
        <v>13</v>
      </c>
      <c r="E334" s="4" t="s">
        <v>50</v>
      </c>
      <c r="F334" s="4">
        <v>20</v>
      </c>
      <c r="G334" s="4">
        <v>272</v>
      </c>
      <c r="H334" s="4">
        <v>15</v>
      </c>
      <c r="I334" s="5">
        <v>46024</v>
      </c>
      <c r="J334" s="5">
        <v>46029</v>
      </c>
      <c r="K334" s="6" t="s">
        <v>51</v>
      </c>
    </row>
    <row r="335" spans="1:11" ht="15.6" x14ac:dyDescent="0.3">
      <c r="A335" s="3">
        <v>1132</v>
      </c>
      <c r="B335" s="4" t="s">
        <v>11</v>
      </c>
      <c r="C335" s="4" t="s">
        <v>31</v>
      </c>
      <c r="D335" s="4" t="s">
        <v>13</v>
      </c>
      <c r="E335" s="4" t="s">
        <v>50</v>
      </c>
      <c r="F335" s="4">
        <v>10</v>
      </c>
      <c r="G335" s="4">
        <v>270</v>
      </c>
      <c r="H335" s="4">
        <v>7</v>
      </c>
      <c r="I335" s="5">
        <v>46024</v>
      </c>
      <c r="J335" s="5">
        <v>46034</v>
      </c>
      <c r="K335" s="6" t="s">
        <v>24</v>
      </c>
    </row>
    <row r="336" spans="1:11" ht="15.6" x14ac:dyDescent="0.3">
      <c r="A336" s="3">
        <v>1137</v>
      </c>
      <c r="B336" s="4" t="s">
        <v>52</v>
      </c>
      <c r="C336" s="4" t="s">
        <v>12</v>
      </c>
      <c r="D336" s="4" t="s">
        <v>13</v>
      </c>
      <c r="E336" s="4" t="s">
        <v>37</v>
      </c>
      <c r="F336" s="4">
        <v>16</v>
      </c>
      <c r="G336" s="4">
        <v>270</v>
      </c>
      <c r="H336" s="4">
        <v>10</v>
      </c>
      <c r="I336" s="5">
        <v>46184</v>
      </c>
      <c r="J336" s="5">
        <v>46190</v>
      </c>
      <c r="K336" s="6" t="s">
        <v>29</v>
      </c>
    </row>
    <row r="337" spans="1:11" ht="15.6" x14ac:dyDescent="0.3">
      <c r="A337" s="3">
        <v>1235</v>
      </c>
      <c r="B337" s="4" t="s">
        <v>57</v>
      </c>
      <c r="C337" s="4" t="s">
        <v>25</v>
      </c>
      <c r="D337" s="4" t="s">
        <v>13</v>
      </c>
      <c r="E337" s="4" t="s">
        <v>50</v>
      </c>
      <c r="F337" s="4">
        <v>15</v>
      </c>
      <c r="G337" s="4">
        <v>267</v>
      </c>
      <c r="H337" s="4">
        <v>15</v>
      </c>
      <c r="I337" s="5">
        <v>46172</v>
      </c>
      <c r="J337" s="5">
        <v>46177</v>
      </c>
      <c r="K337" s="6" t="s">
        <v>29</v>
      </c>
    </row>
    <row r="338" spans="1:11" ht="15.6" x14ac:dyDescent="0.3">
      <c r="A338" s="3">
        <v>1027</v>
      </c>
      <c r="B338" s="4" t="s">
        <v>29</v>
      </c>
      <c r="C338" s="4" t="s">
        <v>43</v>
      </c>
      <c r="D338" s="4" t="s">
        <v>13</v>
      </c>
      <c r="E338" s="4" t="s">
        <v>50</v>
      </c>
      <c r="F338" s="4">
        <v>4</v>
      </c>
      <c r="G338" s="4">
        <v>264</v>
      </c>
      <c r="H338" s="4">
        <v>0</v>
      </c>
      <c r="I338" s="5">
        <v>46155</v>
      </c>
      <c r="J338" s="5">
        <v>46161</v>
      </c>
      <c r="K338" s="6" t="s">
        <v>51</v>
      </c>
    </row>
    <row r="339" spans="1:11" ht="15.6" x14ac:dyDescent="0.3">
      <c r="A339" s="3">
        <v>1252</v>
      </c>
      <c r="B339" s="4" t="s">
        <v>47</v>
      </c>
      <c r="C339" s="4" t="s">
        <v>25</v>
      </c>
      <c r="D339" s="4" t="s">
        <v>13</v>
      </c>
      <c r="E339" s="4" t="s">
        <v>36</v>
      </c>
      <c r="F339" s="4">
        <v>15</v>
      </c>
      <c r="G339" s="4">
        <v>257</v>
      </c>
      <c r="H339" s="4">
        <v>5</v>
      </c>
      <c r="I339" s="5">
        <v>46166</v>
      </c>
      <c r="J339" s="5">
        <v>46173</v>
      </c>
      <c r="K339" s="6" t="s">
        <v>20</v>
      </c>
    </row>
    <row r="340" spans="1:11" ht="15.6" x14ac:dyDescent="0.3">
      <c r="A340" s="3">
        <v>1281</v>
      </c>
      <c r="B340" s="4" t="s">
        <v>55</v>
      </c>
      <c r="C340" s="4" t="s">
        <v>17</v>
      </c>
      <c r="D340" s="4" t="s">
        <v>13</v>
      </c>
      <c r="E340" s="4" t="s">
        <v>50</v>
      </c>
      <c r="F340" s="4">
        <v>6</v>
      </c>
      <c r="G340" s="4">
        <v>253</v>
      </c>
      <c r="H340" s="4">
        <v>0</v>
      </c>
      <c r="I340" s="5">
        <v>46055</v>
      </c>
      <c r="J340" s="5">
        <v>46063</v>
      </c>
      <c r="K340" s="6" t="s">
        <v>24</v>
      </c>
    </row>
    <row r="341" spans="1:11" ht="15.6" x14ac:dyDescent="0.3">
      <c r="A341" s="3">
        <v>1287</v>
      </c>
      <c r="B341" s="4" t="s">
        <v>59</v>
      </c>
      <c r="C341" s="4" t="s">
        <v>31</v>
      </c>
      <c r="D341" s="4" t="s">
        <v>13</v>
      </c>
      <c r="E341" s="4" t="s">
        <v>14</v>
      </c>
      <c r="F341" s="4">
        <v>15</v>
      </c>
      <c r="G341" s="4">
        <v>251</v>
      </c>
      <c r="H341" s="4">
        <v>2</v>
      </c>
      <c r="I341" s="5">
        <v>46116</v>
      </c>
      <c r="J341" s="5">
        <v>46122</v>
      </c>
      <c r="K341" s="6" t="s">
        <v>51</v>
      </c>
    </row>
    <row r="342" spans="1:11" ht="15.6" x14ac:dyDescent="0.3">
      <c r="A342" s="3">
        <v>1167</v>
      </c>
      <c r="B342" s="4" t="s">
        <v>48</v>
      </c>
      <c r="C342" s="4" t="s">
        <v>17</v>
      </c>
      <c r="D342" s="4" t="s">
        <v>13</v>
      </c>
      <c r="E342" s="4" t="s">
        <v>37</v>
      </c>
      <c r="F342" s="4">
        <v>20</v>
      </c>
      <c r="G342" s="4">
        <v>251</v>
      </c>
      <c r="H342" s="4">
        <v>5</v>
      </c>
      <c r="I342" s="5">
        <v>46160</v>
      </c>
      <c r="J342" s="5">
        <v>46170</v>
      </c>
      <c r="K342" s="6" t="s">
        <v>29</v>
      </c>
    </row>
    <row r="343" spans="1:11" ht="15.6" x14ac:dyDescent="0.3">
      <c r="A343" s="3">
        <v>1348</v>
      </c>
      <c r="B343" s="4" t="s">
        <v>11</v>
      </c>
      <c r="C343" s="4" t="s">
        <v>33</v>
      </c>
      <c r="D343" s="4" t="s">
        <v>13</v>
      </c>
      <c r="E343" s="4" t="s">
        <v>50</v>
      </c>
      <c r="F343" s="4">
        <v>12</v>
      </c>
      <c r="G343" s="4">
        <v>244</v>
      </c>
      <c r="H343" s="4">
        <v>7</v>
      </c>
      <c r="I343" s="5">
        <v>46048</v>
      </c>
      <c r="J343" s="5">
        <v>46053</v>
      </c>
      <c r="K343" s="6" t="s">
        <v>15</v>
      </c>
    </row>
    <row r="344" spans="1:11" ht="15.6" x14ac:dyDescent="0.3">
      <c r="A344" s="3">
        <v>1207</v>
      </c>
      <c r="B344" s="4" t="s">
        <v>55</v>
      </c>
      <c r="C344" s="4" t="s">
        <v>25</v>
      </c>
      <c r="D344" s="4" t="s">
        <v>13</v>
      </c>
      <c r="E344" s="4" t="s">
        <v>53</v>
      </c>
      <c r="F344" s="4">
        <v>7</v>
      </c>
      <c r="G344" s="4">
        <v>244</v>
      </c>
      <c r="H344" s="4">
        <v>2</v>
      </c>
      <c r="I344" s="5">
        <v>46164</v>
      </c>
      <c r="J344" s="5">
        <v>46173</v>
      </c>
      <c r="K344" s="6" t="s">
        <v>24</v>
      </c>
    </row>
    <row r="345" spans="1:11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</row>
    <row r="346" spans="1:11" ht="15.6" x14ac:dyDescent="0.3">
      <c r="A346" s="3">
        <v>1070</v>
      </c>
      <c r="B346" s="4" t="s">
        <v>52</v>
      </c>
      <c r="C346" s="4" t="s">
        <v>43</v>
      </c>
      <c r="D346" s="4" t="s">
        <v>13</v>
      </c>
      <c r="E346" s="4" t="s">
        <v>36</v>
      </c>
      <c r="F346" s="4">
        <v>10</v>
      </c>
      <c r="G346" s="4">
        <v>233</v>
      </c>
      <c r="H346" s="4">
        <v>7</v>
      </c>
      <c r="I346" s="5">
        <v>46076</v>
      </c>
      <c r="J346" s="5">
        <v>46077</v>
      </c>
      <c r="K346" s="6" t="s">
        <v>29</v>
      </c>
    </row>
    <row r="347" spans="1:11" ht="15.6" x14ac:dyDescent="0.3">
      <c r="A347" s="3">
        <v>1042</v>
      </c>
      <c r="B347" s="4" t="s">
        <v>46</v>
      </c>
      <c r="C347" s="4" t="s">
        <v>33</v>
      </c>
      <c r="D347" s="4" t="s">
        <v>13</v>
      </c>
      <c r="E347" s="4" t="s">
        <v>53</v>
      </c>
      <c r="F347" s="4">
        <v>16</v>
      </c>
      <c r="G347" s="4">
        <v>232</v>
      </c>
      <c r="H347" s="4">
        <v>0</v>
      </c>
      <c r="I347" s="5">
        <v>46081</v>
      </c>
      <c r="J347" s="5">
        <v>46088</v>
      </c>
      <c r="K347" s="6" t="s">
        <v>29</v>
      </c>
    </row>
    <row r="348" spans="1:11" ht="15.6" x14ac:dyDescent="0.3">
      <c r="A348" s="3">
        <v>1329</v>
      </c>
      <c r="B348" s="4" t="s">
        <v>30</v>
      </c>
      <c r="C348" s="4" t="s">
        <v>43</v>
      </c>
      <c r="D348" s="4" t="s">
        <v>13</v>
      </c>
      <c r="E348" s="4" t="s">
        <v>53</v>
      </c>
      <c r="F348" s="4">
        <v>18</v>
      </c>
      <c r="G348" s="4">
        <v>227</v>
      </c>
      <c r="H348" s="4">
        <v>5</v>
      </c>
      <c r="I348" s="5">
        <v>46126</v>
      </c>
      <c r="J348" s="5">
        <v>46136</v>
      </c>
      <c r="K348" s="6" t="s">
        <v>29</v>
      </c>
    </row>
    <row r="349" spans="1:11" ht="15.6" x14ac:dyDescent="0.3">
      <c r="A349" s="3">
        <v>1038</v>
      </c>
      <c r="B349" s="4" t="s">
        <v>55</v>
      </c>
      <c r="C349" s="4" t="s">
        <v>17</v>
      </c>
      <c r="D349" s="4" t="s">
        <v>13</v>
      </c>
      <c r="E349" s="4" t="s">
        <v>36</v>
      </c>
      <c r="F349" s="4">
        <v>17</v>
      </c>
      <c r="G349" s="4">
        <v>223</v>
      </c>
      <c r="H349" s="4">
        <v>7</v>
      </c>
      <c r="I349" s="5">
        <v>46030</v>
      </c>
      <c r="J349" s="5">
        <v>46031</v>
      </c>
      <c r="K349" s="6" t="s">
        <v>51</v>
      </c>
    </row>
    <row r="350" spans="1:11" ht="15.6" x14ac:dyDescent="0.3">
      <c r="A350" s="3">
        <v>1001</v>
      </c>
      <c r="B350" s="4" t="s">
        <v>11</v>
      </c>
      <c r="C350" s="4" t="s">
        <v>12</v>
      </c>
      <c r="D350" s="4" t="s">
        <v>13</v>
      </c>
      <c r="E350" s="4" t="s">
        <v>14</v>
      </c>
      <c r="F350" s="4">
        <v>3</v>
      </c>
      <c r="G350" s="4">
        <v>222</v>
      </c>
      <c r="H350" s="4">
        <v>15</v>
      </c>
      <c r="I350" s="5">
        <v>46081</v>
      </c>
      <c r="J350" s="5">
        <v>46083</v>
      </c>
      <c r="K350" s="6" t="s">
        <v>15</v>
      </c>
    </row>
    <row r="351" spans="1:11" ht="15.6" x14ac:dyDescent="0.3">
      <c r="A351" s="3">
        <v>1144</v>
      </c>
      <c r="B351" s="4" t="s">
        <v>42</v>
      </c>
      <c r="C351" s="4" t="s">
        <v>25</v>
      </c>
      <c r="D351" s="4" t="s">
        <v>13</v>
      </c>
      <c r="E351" s="4" t="s">
        <v>14</v>
      </c>
      <c r="F351" s="4">
        <v>16</v>
      </c>
      <c r="G351" s="4">
        <v>219</v>
      </c>
      <c r="H351" s="4">
        <v>7</v>
      </c>
      <c r="I351" s="5">
        <v>46138</v>
      </c>
      <c r="J351" s="5">
        <v>46140</v>
      </c>
      <c r="K351" s="6" t="s">
        <v>20</v>
      </c>
    </row>
    <row r="352" spans="1:11" ht="15.6" x14ac:dyDescent="0.3">
      <c r="A352" s="3">
        <v>1173</v>
      </c>
      <c r="B352" s="4" t="s">
        <v>40</v>
      </c>
      <c r="C352" s="4" t="s">
        <v>17</v>
      </c>
      <c r="D352" s="4" t="s">
        <v>13</v>
      </c>
      <c r="E352" s="4" t="s">
        <v>37</v>
      </c>
      <c r="F352" s="4">
        <v>15</v>
      </c>
      <c r="G352" s="4">
        <v>214</v>
      </c>
      <c r="H352" s="4">
        <v>10</v>
      </c>
      <c r="I352" s="5">
        <v>46050</v>
      </c>
      <c r="J352" s="5">
        <v>46060</v>
      </c>
      <c r="K352" s="6" t="s">
        <v>51</v>
      </c>
    </row>
    <row r="353" spans="1:11" ht="15.6" x14ac:dyDescent="0.3">
      <c r="A353" s="3">
        <v>1311</v>
      </c>
      <c r="B353" s="4" t="s">
        <v>55</v>
      </c>
      <c r="C353" s="4" t="s">
        <v>12</v>
      </c>
      <c r="D353" s="4" t="s">
        <v>13</v>
      </c>
      <c r="E353" s="4" t="s">
        <v>14</v>
      </c>
      <c r="F353" s="4">
        <v>2</v>
      </c>
      <c r="G353" s="4">
        <v>209</v>
      </c>
      <c r="H353" s="4">
        <v>0</v>
      </c>
      <c r="I353" s="5">
        <v>46173</v>
      </c>
      <c r="J353" s="5">
        <v>46176</v>
      </c>
      <c r="K353" s="6" t="s">
        <v>20</v>
      </c>
    </row>
    <row r="354" spans="1:11" ht="15.6" x14ac:dyDescent="0.3">
      <c r="A354" s="3">
        <v>1352</v>
      </c>
      <c r="B354" s="4" t="s">
        <v>54</v>
      </c>
      <c r="C354" s="4" t="s">
        <v>22</v>
      </c>
      <c r="D354" s="4" t="s">
        <v>13</v>
      </c>
      <c r="E354" s="4" t="s">
        <v>14</v>
      </c>
      <c r="F354" s="4">
        <v>12</v>
      </c>
      <c r="G354" s="4">
        <v>203</v>
      </c>
      <c r="H354" s="4">
        <v>5</v>
      </c>
      <c r="I354" s="5">
        <v>46024</v>
      </c>
      <c r="J354" s="5">
        <v>46033</v>
      </c>
      <c r="K354" s="6" t="s">
        <v>15</v>
      </c>
    </row>
    <row r="355" spans="1:11" ht="15.6" x14ac:dyDescent="0.3">
      <c r="A355" s="3">
        <v>1157</v>
      </c>
      <c r="B355" s="4" t="s">
        <v>52</v>
      </c>
      <c r="C355" s="4" t="s">
        <v>33</v>
      </c>
      <c r="D355" s="4" t="s">
        <v>13</v>
      </c>
      <c r="E355" s="4" t="s">
        <v>50</v>
      </c>
      <c r="F355" s="4">
        <v>3</v>
      </c>
      <c r="G355" s="4">
        <v>203</v>
      </c>
      <c r="H355" s="4">
        <v>15</v>
      </c>
      <c r="I355" s="5">
        <v>46076</v>
      </c>
      <c r="J355" s="5">
        <v>46080</v>
      </c>
      <c r="K355" s="6" t="s">
        <v>29</v>
      </c>
    </row>
    <row r="356" spans="1:11" ht="15.6" x14ac:dyDescent="0.3">
      <c r="A356" s="3">
        <v>1296</v>
      </c>
      <c r="B356" s="4" t="s">
        <v>26</v>
      </c>
      <c r="C356" s="4" t="s">
        <v>38</v>
      </c>
      <c r="D356" s="4" t="s">
        <v>13</v>
      </c>
      <c r="E356" s="4" t="s">
        <v>50</v>
      </c>
      <c r="F356" s="4">
        <v>6</v>
      </c>
      <c r="G356" s="4">
        <v>201</v>
      </c>
      <c r="H356" s="4">
        <v>0</v>
      </c>
      <c r="I356" s="5">
        <v>46063</v>
      </c>
      <c r="J356" s="5">
        <v>46072</v>
      </c>
      <c r="K356" s="6" t="s">
        <v>51</v>
      </c>
    </row>
    <row r="357" spans="1:11" ht="15.6" x14ac:dyDescent="0.3">
      <c r="A357" s="3">
        <v>1064</v>
      </c>
      <c r="B357" s="4" t="s">
        <v>26</v>
      </c>
      <c r="C357" s="4" t="s">
        <v>17</v>
      </c>
      <c r="D357" s="4" t="s">
        <v>13</v>
      </c>
      <c r="E357" s="4" t="s">
        <v>50</v>
      </c>
      <c r="F357" s="4">
        <v>20</v>
      </c>
      <c r="G357" s="4">
        <v>191</v>
      </c>
      <c r="H357" s="4">
        <v>7</v>
      </c>
      <c r="I357" s="5">
        <v>46185</v>
      </c>
      <c r="J357" s="5">
        <v>46195</v>
      </c>
      <c r="K357" s="6" t="s">
        <v>29</v>
      </c>
    </row>
    <row r="358" spans="1:11" ht="15.6" x14ac:dyDescent="0.3">
      <c r="A358" s="3">
        <v>1236</v>
      </c>
      <c r="B358" s="4" t="s">
        <v>54</v>
      </c>
      <c r="C358" s="4" t="s">
        <v>43</v>
      </c>
      <c r="D358" s="4" t="s">
        <v>13</v>
      </c>
      <c r="E358" s="4" t="s">
        <v>37</v>
      </c>
      <c r="F358" s="4">
        <v>12</v>
      </c>
      <c r="G358" s="4">
        <v>189</v>
      </c>
      <c r="H358" s="4">
        <v>7</v>
      </c>
      <c r="I358" s="5">
        <v>46164</v>
      </c>
      <c r="J358" s="5">
        <v>46169</v>
      </c>
      <c r="K358" s="6" t="s">
        <v>29</v>
      </c>
    </row>
    <row r="359" spans="1:11" ht="15.6" x14ac:dyDescent="0.3">
      <c r="A359" s="3">
        <v>1055</v>
      </c>
      <c r="B359" s="4" t="s">
        <v>48</v>
      </c>
      <c r="C359" s="4" t="s">
        <v>12</v>
      </c>
      <c r="D359" s="4" t="s">
        <v>13</v>
      </c>
      <c r="E359" s="4" t="s">
        <v>37</v>
      </c>
      <c r="F359" s="4">
        <v>18</v>
      </c>
      <c r="G359" s="4">
        <v>185</v>
      </c>
      <c r="H359" s="4">
        <v>15</v>
      </c>
      <c r="I359" s="5">
        <v>46077</v>
      </c>
      <c r="J359" s="5">
        <v>46078</v>
      </c>
      <c r="K359" s="6" t="s">
        <v>15</v>
      </c>
    </row>
    <row r="360" spans="1:11" ht="15.6" x14ac:dyDescent="0.3">
      <c r="A360" s="3">
        <v>1031</v>
      </c>
      <c r="B360" s="4" t="s">
        <v>54</v>
      </c>
      <c r="C360" s="4" t="s">
        <v>31</v>
      </c>
      <c r="D360" s="4" t="s">
        <v>13</v>
      </c>
      <c r="E360" s="4" t="s">
        <v>53</v>
      </c>
      <c r="F360" s="4">
        <v>2</v>
      </c>
      <c r="G360" s="4">
        <v>184</v>
      </c>
      <c r="H360" s="4">
        <v>5</v>
      </c>
      <c r="I360" s="5">
        <v>46089</v>
      </c>
      <c r="J360" s="5">
        <v>46093</v>
      </c>
      <c r="K360" s="6" t="s">
        <v>20</v>
      </c>
    </row>
    <row r="361" spans="1:11" ht="15.6" x14ac:dyDescent="0.3">
      <c r="A361" s="3">
        <v>1238</v>
      </c>
      <c r="B361" s="4" t="s">
        <v>30</v>
      </c>
      <c r="C361" s="4" t="s">
        <v>31</v>
      </c>
      <c r="D361" s="4" t="s">
        <v>13</v>
      </c>
      <c r="E361" s="4" t="s">
        <v>14</v>
      </c>
      <c r="F361" s="4">
        <v>6</v>
      </c>
      <c r="G361" s="4">
        <v>180</v>
      </c>
      <c r="H361" s="4">
        <v>12</v>
      </c>
      <c r="I361" s="5">
        <v>46096</v>
      </c>
      <c r="J361" s="5">
        <v>46097</v>
      </c>
      <c r="K361" s="6" t="s">
        <v>51</v>
      </c>
    </row>
    <row r="362" spans="1:11" ht="15.6" x14ac:dyDescent="0.3">
      <c r="A362" s="3">
        <v>1017</v>
      </c>
      <c r="B362" s="4" t="s">
        <v>46</v>
      </c>
      <c r="C362" s="4" t="s">
        <v>38</v>
      </c>
      <c r="D362" s="4" t="s">
        <v>13</v>
      </c>
      <c r="E362" s="4" t="s">
        <v>36</v>
      </c>
      <c r="F362" s="4">
        <v>8</v>
      </c>
      <c r="G362" s="4">
        <v>179</v>
      </c>
      <c r="H362" s="4">
        <v>15</v>
      </c>
      <c r="I362" s="5">
        <v>46082</v>
      </c>
      <c r="J362" s="5">
        <v>46084</v>
      </c>
      <c r="K362" s="6" t="s">
        <v>15</v>
      </c>
    </row>
    <row r="363" spans="1:11" ht="15.6" x14ac:dyDescent="0.3">
      <c r="A363" s="3">
        <v>1052</v>
      </c>
      <c r="B363" s="4" t="s">
        <v>55</v>
      </c>
      <c r="C363" s="4" t="s">
        <v>12</v>
      </c>
      <c r="D363" s="4" t="s">
        <v>13</v>
      </c>
      <c r="E363" s="4" t="s">
        <v>14</v>
      </c>
      <c r="F363" s="4">
        <v>17</v>
      </c>
      <c r="G363" s="4">
        <v>172</v>
      </c>
      <c r="H363" s="4">
        <v>10</v>
      </c>
      <c r="I363" s="5">
        <v>46159</v>
      </c>
      <c r="J363" s="5">
        <v>46165</v>
      </c>
      <c r="K363" s="6" t="s">
        <v>20</v>
      </c>
    </row>
    <row r="364" spans="1:11" ht="15.6" x14ac:dyDescent="0.3">
      <c r="A364" s="3">
        <v>1242</v>
      </c>
      <c r="B364" s="4" t="s">
        <v>54</v>
      </c>
      <c r="C364" s="4" t="s">
        <v>38</v>
      </c>
      <c r="D364" s="4" t="s">
        <v>13</v>
      </c>
      <c r="E364" s="4" t="s">
        <v>50</v>
      </c>
      <c r="F364" s="4">
        <v>7</v>
      </c>
      <c r="G364" s="4">
        <v>168</v>
      </c>
      <c r="H364" s="4">
        <v>10</v>
      </c>
      <c r="I364" s="5">
        <v>46191</v>
      </c>
      <c r="J364" s="5">
        <v>46196</v>
      </c>
      <c r="K364" s="6" t="s">
        <v>51</v>
      </c>
    </row>
    <row r="365" spans="1:11" ht="15.6" x14ac:dyDescent="0.3">
      <c r="A365" s="3">
        <v>1261</v>
      </c>
      <c r="B365" s="4" t="s">
        <v>40</v>
      </c>
      <c r="C365" s="4" t="s">
        <v>17</v>
      </c>
      <c r="D365" s="4" t="s">
        <v>13</v>
      </c>
      <c r="E365" s="4" t="s">
        <v>50</v>
      </c>
      <c r="F365" s="4">
        <v>20</v>
      </c>
      <c r="G365" s="4">
        <v>162</v>
      </c>
      <c r="H365" s="4">
        <v>7</v>
      </c>
      <c r="I365" s="5">
        <v>46119</v>
      </c>
      <c r="J365" s="5">
        <v>46120</v>
      </c>
      <c r="K365" s="6" t="s">
        <v>51</v>
      </c>
    </row>
    <row r="366" spans="1:11" ht="15.6" x14ac:dyDescent="0.3">
      <c r="A366" s="3">
        <v>1036</v>
      </c>
      <c r="B366" s="4" t="s">
        <v>11</v>
      </c>
      <c r="C366" s="4" t="s">
        <v>25</v>
      </c>
      <c r="D366" s="4" t="s">
        <v>13</v>
      </c>
      <c r="E366" s="4" t="s">
        <v>36</v>
      </c>
      <c r="F366" s="4">
        <v>20</v>
      </c>
      <c r="G366" s="4">
        <v>161</v>
      </c>
      <c r="H366" s="4">
        <v>7</v>
      </c>
      <c r="I366" s="5">
        <v>46071</v>
      </c>
      <c r="J366" s="5">
        <v>46077</v>
      </c>
      <c r="K366" s="6" t="s">
        <v>24</v>
      </c>
    </row>
    <row r="367" spans="1:11" ht="15.6" x14ac:dyDescent="0.3">
      <c r="A367" s="3">
        <v>1174</v>
      </c>
      <c r="B367" s="4" t="s">
        <v>58</v>
      </c>
      <c r="C367" s="4" t="s">
        <v>38</v>
      </c>
      <c r="D367" s="4" t="s">
        <v>13</v>
      </c>
      <c r="E367" s="4" t="s">
        <v>14</v>
      </c>
      <c r="F367" s="4">
        <v>13</v>
      </c>
      <c r="G367" s="4">
        <v>155</v>
      </c>
      <c r="H367" s="4">
        <v>2</v>
      </c>
      <c r="I367" s="5">
        <v>46066</v>
      </c>
      <c r="J367" s="5">
        <v>46069</v>
      </c>
      <c r="K367" s="6" t="s">
        <v>24</v>
      </c>
    </row>
    <row r="368" spans="1:11" ht="15.6" x14ac:dyDescent="0.3">
      <c r="A368" s="3">
        <v>1007</v>
      </c>
      <c r="B368" s="4" t="s">
        <v>21</v>
      </c>
      <c r="C368" s="4" t="s">
        <v>22</v>
      </c>
      <c r="D368" s="4" t="s">
        <v>13</v>
      </c>
      <c r="E368" s="4" t="s">
        <v>14</v>
      </c>
      <c r="F368" s="4">
        <v>19</v>
      </c>
      <c r="G368" s="4">
        <v>149</v>
      </c>
      <c r="H368" s="4">
        <v>7</v>
      </c>
      <c r="I368" s="5">
        <v>46162</v>
      </c>
      <c r="J368" s="5">
        <v>46168</v>
      </c>
      <c r="K368" s="6" t="s">
        <v>24</v>
      </c>
    </row>
    <row r="369" spans="1:11" ht="15.6" x14ac:dyDescent="0.3">
      <c r="A369" s="3">
        <v>1171</v>
      </c>
      <c r="B369" s="4" t="s">
        <v>57</v>
      </c>
      <c r="C369" s="4" t="s">
        <v>25</v>
      </c>
      <c r="D369" s="4" t="s">
        <v>13</v>
      </c>
      <c r="E369" s="4" t="s">
        <v>50</v>
      </c>
      <c r="F369" s="4">
        <v>17</v>
      </c>
      <c r="G369" s="4">
        <v>147</v>
      </c>
      <c r="H369" s="4">
        <v>12</v>
      </c>
      <c r="I369" s="5">
        <v>46155</v>
      </c>
      <c r="J369" s="5">
        <v>46160</v>
      </c>
      <c r="K369" s="6" t="s">
        <v>20</v>
      </c>
    </row>
    <row r="370" spans="1:11" ht="15.6" x14ac:dyDescent="0.3">
      <c r="A370" s="3">
        <v>1201</v>
      </c>
      <c r="B370" s="4" t="s">
        <v>54</v>
      </c>
      <c r="C370" s="4" t="s">
        <v>31</v>
      </c>
      <c r="D370" s="4" t="s">
        <v>13</v>
      </c>
      <c r="E370" s="4" t="s">
        <v>53</v>
      </c>
      <c r="F370" s="4">
        <v>18</v>
      </c>
      <c r="G370" s="4">
        <v>139</v>
      </c>
      <c r="H370" s="4">
        <v>12</v>
      </c>
      <c r="I370" s="5">
        <v>46075</v>
      </c>
      <c r="J370" s="5">
        <v>46076</v>
      </c>
      <c r="K370" s="6" t="s">
        <v>20</v>
      </c>
    </row>
    <row r="371" spans="1:11" ht="15.6" x14ac:dyDescent="0.3">
      <c r="A371" s="3">
        <v>1394</v>
      </c>
      <c r="B371" s="4" t="s">
        <v>54</v>
      </c>
      <c r="C371" s="4" t="s">
        <v>12</v>
      </c>
      <c r="D371" s="4" t="s">
        <v>13</v>
      </c>
      <c r="E371" s="4" t="s">
        <v>14</v>
      </c>
      <c r="F371" s="4">
        <v>10</v>
      </c>
      <c r="G371" s="4">
        <v>138</v>
      </c>
      <c r="H371" s="4">
        <v>2</v>
      </c>
      <c r="I371" s="5">
        <v>46056</v>
      </c>
      <c r="J371" s="5">
        <v>46057</v>
      </c>
      <c r="K371" s="6" t="s">
        <v>15</v>
      </c>
    </row>
    <row r="372" spans="1:11" ht="15.6" x14ac:dyDescent="0.3">
      <c r="A372" s="3">
        <v>1379</v>
      </c>
      <c r="B372" s="4" t="s">
        <v>47</v>
      </c>
      <c r="C372" s="4" t="s">
        <v>17</v>
      </c>
      <c r="D372" s="4" t="s">
        <v>13</v>
      </c>
      <c r="E372" s="4" t="s">
        <v>14</v>
      </c>
      <c r="F372" s="4">
        <v>11</v>
      </c>
      <c r="G372" s="4">
        <v>136</v>
      </c>
      <c r="H372" s="4">
        <v>15</v>
      </c>
      <c r="I372" s="5">
        <v>46106</v>
      </c>
      <c r="J372" s="5">
        <v>46107</v>
      </c>
      <c r="K372" s="6" t="s">
        <v>20</v>
      </c>
    </row>
    <row r="373" spans="1:11" ht="15.6" x14ac:dyDescent="0.3">
      <c r="A373" s="3">
        <v>1218</v>
      </c>
      <c r="B373" s="4" t="s">
        <v>55</v>
      </c>
      <c r="C373" s="4" t="s">
        <v>38</v>
      </c>
      <c r="D373" s="4" t="s">
        <v>13</v>
      </c>
      <c r="E373" s="4" t="s">
        <v>14</v>
      </c>
      <c r="F373" s="4">
        <v>1</v>
      </c>
      <c r="G373" s="4">
        <v>134</v>
      </c>
      <c r="H373" s="4">
        <v>10</v>
      </c>
      <c r="I373" s="5">
        <v>46143</v>
      </c>
      <c r="J373" s="5">
        <v>46151</v>
      </c>
      <c r="K373" s="6" t="s">
        <v>51</v>
      </c>
    </row>
    <row r="374" spans="1:11" ht="15.6" x14ac:dyDescent="0.3">
      <c r="A374" s="3">
        <v>1082</v>
      </c>
      <c r="B374" s="4" t="s">
        <v>21</v>
      </c>
      <c r="C374" s="4" t="s">
        <v>12</v>
      </c>
      <c r="D374" s="4" t="s">
        <v>13</v>
      </c>
      <c r="E374" s="4" t="s">
        <v>14</v>
      </c>
      <c r="F374" s="4">
        <v>7</v>
      </c>
      <c r="G374" s="4">
        <v>133</v>
      </c>
      <c r="H374" s="4">
        <v>10</v>
      </c>
      <c r="I374" s="5">
        <v>46075</v>
      </c>
      <c r="J374" s="5">
        <v>46085</v>
      </c>
      <c r="K374" s="6" t="s">
        <v>51</v>
      </c>
    </row>
    <row r="375" spans="1:11" ht="15.6" x14ac:dyDescent="0.3">
      <c r="A375" s="3">
        <v>1328</v>
      </c>
      <c r="B375" s="4" t="s">
        <v>16</v>
      </c>
      <c r="C375" s="4" t="s">
        <v>38</v>
      </c>
      <c r="D375" s="4" t="s">
        <v>13</v>
      </c>
      <c r="E375" s="4" t="s">
        <v>36</v>
      </c>
      <c r="F375" s="4">
        <v>4</v>
      </c>
      <c r="G375" s="4">
        <v>132</v>
      </c>
      <c r="H375" s="4">
        <v>0</v>
      </c>
      <c r="I375" s="5">
        <v>46109</v>
      </c>
      <c r="J375" s="5">
        <v>46114</v>
      </c>
      <c r="K375" s="6" t="s">
        <v>29</v>
      </c>
    </row>
    <row r="376" spans="1:11" ht="15.6" x14ac:dyDescent="0.3">
      <c r="A376" s="3">
        <v>1077</v>
      </c>
      <c r="B376" s="4" t="s">
        <v>55</v>
      </c>
      <c r="C376" s="4" t="s">
        <v>25</v>
      </c>
      <c r="D376" s="4" t="s">
        <v>13</v>
      </c>
      <c r="E376" s="4" t="s">
        <v>14</v>
      </c>
      <c r="F376" s="4">
        <v>1</v>
      </c>
      <c r="G376" s="4">
        <v>123</v>
      </c>
      <c r="H376" s="4">
        <v>10</v>
      </c>
      <c r="I376" s="5">
        <v>46113</v>
      </c>
      <c r="J376" s="5">
        <v>46121</v>
      </c>
      <c r="K376" s="6" t="s">
        <v>51</v>
      </c>
    </row>
    <row r="377" spans="1:11" ht="15.6" x14ac:dyDescent="0.3">
      <c r="A377" s="3">
        <v>1365</v>
      </c>
      <c r="B377" s="4" t="s">
        <v>46</v>
      </c>
      <c r="C377" s="4" t="s">
        <v>33</v>
      </c>
      <c r="D377" s="4" t="s">
        <v>13</v>
      </c>
      <c r="E377" s="4" t="s">
        <v>50</v>
      </c>
      <c r="F377" s="4">
        <v>17</v>
      </c>
      <c r="G377" s="4">
        <v>119</v>
      </c>
      <c r="H377" s="4">
        <v>7</v>
      </c>
      <c r="I377" s="5">
        <v>46070</v>
      </c>
      <c r="J377" s="5">
        <v>46072</v>
      </c>
      <c r="K377" s="6" t="s">
        <v>20</v>
      </c>
    </row>
    <row r="378" spans="1:11" ht="15.6" x14ac:dyDescent="0.3">
      <c r="A378" s="3">
        <v>1219</v>
      </c>
      <c r="B378" s="4" t="s">
        <v>46</v>
      </c>
      <c r="C378" s="4" t="s">
        <v>22</v>
      </c>
      <c r="D378" s="4" t="s">
        <v>13</v>
      </c>
      <c r="E378" s="4" t="s">
        <v>14</v>
      </c>
      <c r="F378" s="4">
        <v>4</v>
      </c>
      <c r="G378" s="4">
        <v>117</v>
      </c>
      <c r="H378" s="4">
        <v>15</v>
      </c>
      <c r="I378" s="5">
        <v>46202</v>
      </c>
      <c r="J378" s="5">
        <v>46206</v>
      </c>
      <c r="K378" s="6" t="s">
        <v>29</v>
      </c>
    </row>
    <row r="379" spans="1:11" ht="15.6" x14ac:dyDescent="0.3">
      <c r="A379" s="3">
        <v>1368</v>
      </c>
      <c r="B379" s="4" t="s">
        <v>55</v>
      </c>
      <c r="C379" s="4" t="s">
        <v>38</v>
      </c>
      <c r="D379" s="4" t="s">
        <v>13</v>
      </c>
      <c r="E379" s="4" t="s">
        <v>36</v>
      </c>
      <c r="F379" s="4">
        <v>9</v>
      </c>
      <c r="G379" s="4">
        <v>115</v>
      </c>
      <c r="H379" s="4">
        <v>0</v>
      </c>
      <c r="I379" s="5">
        <v>46036</v>
      </c>
      <c r="J379" s="5">
        <v>46045</v>
      </c>
      <c r="K379" s="6" t="s">
        <v>24</v>
      </c>
    </row>
    <row r="380" spans="1:11" ht="15.6" x14ac:dyDescent="0.3">
      <c r="A380" s="3">
        <v>1205</v>
      </c>
      <c r="B380" s="4" t="s">
        <v>21</v>
      </c>
      <c r="C380" s="4" t="s">
        <v>38</v>
      </c>
      <c r="D380" s="4" t="s">
        <v>13</v>
      </c>
      <c r="E380" s="4" t="s">
        <v>36</v>
      </c>
      <c r="F380" s="4">
        <v>1</v>
      </c>
      <c r="G380" s="4">
        <v>112</v>
      </c>
      <c r="H380" s="4">
        <v>7</v>
      </c>
      <c r="I380" s="5">
        <v>46033</v>
      </c>
      <c r="J380" s="5">
        <v>46040</v>
      </c>
      <c r="K380" s="6" t="s">
        <v>51</v>
      </c>
    </row>
    <row r="381" spans="1:11" ht="15.6" x14ac:dyDescent="0.3">
      <c r="A381" s="3">
        <v>1059</v>
      </c>
      <c r="B381" s="4" t="s">
        <v>54</v>
      </c>
      <c r="C381" s="4" t="s">
        <v>25</v>
      </c>
      <c r="D381" s="4" t="s">
        <v>13</v>
      </c>
      <c r="E381" s="4" t="s">
        <v>50</v>
      </c>
      <c r="F381" s="4">
        <v>20</v>
      </c>
      <c r="G381" s="4">
        <v>112</v>
      </c>
      <c r="H381" s="4">
        <v>10</v>
      </c>
      <c r="I381" s="5">
        <v>46113</v>
      </c>
      <c r="J381" s="5">
        <v>46122</v>
      </c>
      <c r="K381" s="6" t="s">
        <v>51</v>
      </c>
    </row>
    <row r="382" spans="1:11" ht="15.6" x14ac:dyDescent="0.3">
      <c r="A382" s="3">
        <v>1011</v>
      </c>
      <c r="B382" s="4" t="s">
        <v>11</v>
      </c>
      <c r="C382" s="4" t="s">
        <v>17</v>
      </c>
      <c r="D382" s="4" t="s">
        <v>13</v>
      </c>
      <c r="E382" s="4" t="s">
        <v>37</v>
      </c>
      <c r="F382" s="4">
        <v>14</v>
      </c>
      <c r="G382" s="4">
        <v>88</v>
      </c>
      <c r="H382" s="4">
        <v>12</v>
      </c>
      <c r="I382" s="5">
        <v>46161</v>
      </c>
      <c r="J382" s="5">
        <v>46163</v>
      </c>
      <c r="K382" s="6" t="s">
        <v>15</v>
      </c>
    </row>
    <row r="383" spans="1:11" ht="15.6" x14ac:dyDescent="0.3">
      <c r="A383" s="3">
        <v>1399</v>
      </c>
      <c r="B383" s="4" t="s">
        <v>48</v>
      </c>
      <c r="C383" s="4" t="s">
        <v>31</v>
      </c>
      <c r="D383" s="4" t="s">
        <v>13</v>
      </c>
      <c r="E383" s="4" t="s">
        <v>14</v>
      </c>
      <c r="F383" s="4">
        <v>15</v>
      </c>
      <c r="G383" s="4">
        <v>87</v>
      </c>
      <c r="H383" s="4">
        <v>15</v>
      </c>
      <c r="I383" s="5">
        <v>46089</v>
      </c>
      <c r="J383" s="5">
        <v>46093</v>
      </c>
      <c r="K383" s="6" t="s">
        <v>20</v>
      </c>
    </row>
    <row r="384" spans="1:11" ht="15.6" x14ac:dyDescent="0.3">
      <c r="A384" s="3">
        <v>1129</v>
      </c>
      <c r="B384" s="4" t="s">
        <v>58</v>
      </c>
      <c r="C384" s="4" t="s">
        <v>17</v>
      </c>
      <c r="D384" s="4" t="s">
        <v>13</v>
      </c>
      <c r="E384" s="4" t="s">
        <v>50</v>
      </c>
      <c r="F384" s="4">
        <v>15</v>
      </c>
      <c r="G384" s="4">
        <v>75</v>
      </c>
      <c r="H384" s="4">
        <v>7</v>
      </c>
      <c r="I384" s="5">
        <v>46160</v>
      </c>
      <c r="J384" s="5">
        <v>46164</v>
      </c>
      <c r="K384" s="6" t="s">
        <v>29</v>
      </c>
    </row>
    <row r="385" spans="1:11" ht="15.6" x14ac:dyDescent="0.3">
      <c r="A385" s="3">
        <v>1041</v>
      </c>
      <c r="B385" s="4" t="s">
        <v>54</v>
      </c>
      <c r="C385" s="4" t="s">
        <v>38</v>
      </c>
      <c r="D385" s="4" t="s">
        <v>13</v>
      </c>
      <c r="E385" s="4" t="s">
        <v>50</v>
      </c>
      <c r="F385" s="4">
        <v>9</v>
      </c>
      <c r="G385" s="4">
        <v>71</v>
      </c>
      <c r="H385" s="4">
        <v>7</v>
      </c>
      <c r="I385" s="5">
        <v>46185</v>
      </c>
      <c r="J385" s="5">
        <v>46188</v>
      </c>
      <c r="K385" s="6" t="s">
        <v>15</v>
      </c>
    </row>
    <row r="386" spans="1:11" ht="15.6" x14ac:dyDescent="0.3">
      <c r="A386" s="3">
        <v>1005</v>
      </c>
      <c r="B386" s="4" t="s">
        <v>26</v>
      </c>
      <c r="C386" s="4" t="s">
        <v>17</v>
      </c>
      <c r="D386" s="4" t="s">
        <v>13</v>
      </c>
      <c r="E386" s="4" t="s">
        <v>14</v>
      </c>
      <c r="F386" s="4">
        <v>18</v>
      </c>
      <c r="G386" s="4">
        <v>70</v>
      </c>
      <c r="H386" s="4">
        <v>0</v>
      </c>
      <c r="I386" s="5">
        <v>46171</v>
      </c>
      <c r="J386" s="5">
        <v>46179</v>
      </c>
      <c r="K386" s="6" t="s">
        <v>24</v>
      </c>
    </row>
    <row r="387" spans="1:11" ht="15.6" x14ac:dyDescent="0.3">
      <c r="A387" s="3">
        <v>1206</v>
      </c>
      <c r="B387" s="4" t="s">
        <v>55</v>
      </c>
      <c r="C387" s="4" t="s">
        <v>33</v>
      </c>
      <c r="D387" s="4" t="s">
        <v>13</v>
      </c>
      <c r="E387" s="4" t="s">
        <v>14</v>
      </c>
      <c r="F387" s="4">
        <v>9</v>
      </c>
      <c r="G387" s="4">
        <v>60</v>
      </c>
      <c r="H387" s="4">
        <v>0</v>
      </c>
      <c r="I387" s="5">
        <v>46166</v>
      </c>
      <c r="J387" s="5">
        <v>46174</v>
      </c>
      <c r="K387" s="6" t="s">
        <v>15</v>
      </c>
    </row>
    <row r="388" spans="1:11" ht="15.6" x14ac:dyDescent="0.3">
      <c r="A388" s="3">
        <v>1217</v>
      </c>
      <c r="B388" s="4" t="s">
        <v>30</v>
      </c>
      <c r="C388" s="4" t="s">
        <v>22</v>
      </c>
      <c r="D388" s="4" t="s">
        <v>13</v>
      </c>
      <c r="E388" s="4" t="s">
        <v>50</v>
      </c>
      <c r="F388" s="4">
        <v>18</v>
      </c>
      <c r="G388" s="4">
        <v>60</v>
      </c>
      <c r="H388" s="4">
        <v>0</v>
      </c>
      <c r="I388" s="5">
        <v>46171</v>
      </c>
      <c r="J388" s="5">
        <v>46172</v>
      </c>
      <c r="K388" s="6" t="s">
        <v>29</v>
      </c>
    </row>
    <row r="389" spans="1:11" ht="15.6" x14ac:dyDescent="0.3">
      <c r="A389" s="3">
        <v>1320</v>
      </c>
      <c r="B389" s="4" t="s">
        <v>47</v>
      </c>
      <c r="C389" s="4" t="s">
        <v>38</v>
      </c>
      <c r="D389" s="4" t="s">
        <v>13</v>
      </c>
      <c r="E389" s="4" t="s">
        <v>36</v>
      </c>
      <c r="F389" s="4">
        <v>20</v>
      </c>
      <c r="G389" s="4">
        <v>55</v>
      </c>
      <c r="H389" s="4">
        <v>7</v>
      </c>
      <c r="I389" s="5">
        <v>46183</v>
      </c>
      <c r="J389" s="5">
        <v>46186</v>
      </c>
      <c r="K389" s="6" t="s">
        <v>20</v>
      </c>
    </row>
    <row r="390" spans="1:11" ht="15.6" x14ac:dyDescent="0.3">
      <c r="A390" s="3">
        <v>1396</v>
      </c>
      <c r="B390" s="4" t="s">
        <v>21</v>
      </c>
      <c r="C390" s="4" t="s">
        <v>38</v>
      </c>
      <c r="D390" s="4" t="s">
        <v>13</v>
      </c>
      <c r="E390" s="4" t="s">
        <v>53</v>
      </c>
      <c r="F390" s="4">
        <v>8</v>
      </c>
      <c r="G390" s="4">
        <v>54</v>
      </c>
      <c r="H390" s="4">
        <v>15</v>
      </c>
      <c r="I390" s="5">
        <v>46031</v>
      </c>
      <c r="J390" s="5">
        <v>46035</v>
      </c>
      <c r="K390" s="6" t="s">
        <v>15</v>
      </c>
    </row>
    <row r="391" spans="1:11" ht="15.6" x14ac:dyDescent="0.3">
      <c r="A391" s="3">
        <v>1280</v>
      </c>
      <c r="B391" s="4" t="s">
        <v>59</v>
      </c>
      <c r="C391" s="4" t="s">
        <v>38</v>
      </c>
      <c r="D391" s="4" t="s">
        <v>13</v>
      </c>
      <c r="E391" s="4" t="s">
        <v>53</v>
      </c>
      <c r="F391" s="4">
        <v>9</v>
      </c>
      <c r="G391" s="4">
        <v>50</v>
      </c>
      <c r="H391" s="4">
        <v>7</v>
      </c>
      <c r="I391" s="5">
        <v>46085</v>
      </c>
      <c r="J391" s="5">
        <v>46095</v>
      </c>
      <c r="K391" s="6" t="s">
        <v>51</v>
      </c>
    </row>
    <row r="392" spans="1:11" ht="15.6" x14ac:dyDescent="0.3">
      <c r="A392" s="3">
        <v>1178</v>
      </c>
      <c r="B392" s="4" t="s">
        <v>57</v>
      </c>
      <c r="C392" s="4" t="s">
        <v>17</v>
      </c>
      <c r="D392" s="4" t="s">
        <v>13</v>
      </c>
      <c r="E392" s="4" t="s">
        <v>50</v>
      </c>
      <c r="F392" s="4">
        <v>5</v>
      </c>
      <c r="G392" s="4">
        <v>50</v>
      </c>
      <c r="H392" s="4">
        <v>0</v>
      </c>
      <c r="I392" s="5">
        <v>46111</v>
      </c>
      <c r="J392" s="5">
        <v>46117</v>
      </c>
      <c r="K392" s="6" t="s">
        <v>20</v>
      </c>
    </row>
    <row r="393" spans="1:11" ht="15.6" x14ac:dyDescent="0.3">
      <c r="A393" s="3">
        <v>1130</v>
      </c>
      <c r="B393" s="4" t="s">
        <v>48</v>
      </c>
      <c r="C393" s="4" t="s">
        <v>33</v>
      </c>
      <c r="D393" s="4" t="s">
        <v>13</v>
      </c>
      <c r="E393" s="4" t="s">
        <v>14</v>
      </c>
      <c r="F393" s="4">
        <v>12</v>
      </c>
      <c r="G393" s="4">
        <v>50</v>
      </c>
      <c r="H393" s="4">
        <v>2</v>
      </c>
      <c r="I393" s="5">
        <v>46125</v>
      </c>
      <c r="J393" s="5">
        <v>46131</v>
      </c>
      <c r="K393" s="6" t="s">
        <v>24</v>
      </c>
    </row>
    <row r="394" spans="1:11" ht="15.6" x14ac:dyDescent="0.3">
      <c r="A394" s="3">
        <v>1267</v>
      </c>
      <c r="B394" s="4" t="s">
        <v>27</v>
      </c>
      <c r="C394" s="4" t="s">
        <v>38</v>
      </c>
      <c r="D394" s="4" t="s">
        <v>13</v>
      </c>
      <c r="E394" s="4" t="s">
        <v>50</v>
      </c>
      <c r="F394" s="4">
        <v>1</v>
      </c>
      <c r="G394" s="4">
        <v>50</v>
      </c>
      <c r="H394" s="4">
        <v>0</v>
      </c>
      <c r="I394" s="5">
        <v>46129</v>
      </c>
      <c r="J394" s="5">
        <v>46138</v>
      </c>
      <c r="K394" s="6" t="s">
        <v>20</v>
      </c>
    </row>
    <row r="395" spans="1:11" ht="15.6" x14ac:dyDescent="0.3">
      <c r="A395" s="3">
        <v>1192</v>
      </c>
      <c r="B395" s="4" t="s">
        <v>21</v>
      </c>
      <c r="C395" s="4" t="s">
        <v>33</v>
      </c>
      <c r="D395" s="4" t="s">
        <v>13</v>
      </c>
      <c r="E395" s="4" t="s">
        <v>53</v>
      </c>
      <c r="F395" s="4">
        <v>18</v>
      </c>
      <c r="G395" s="4">
        <v>49</v>
      </c>
      <c r="H395" s="4">
        <v>12</v>
      </c>
      <c r="I395" s="5">
        <v>46089</v>
      </c>
      <c r="J395" s="5">
        <v>46095</v>
      </c>
      <c r="K395" s="6" t="s">
        <v>24</v>
      </c>
    </row>
    <row r="396" spans="1:11" ht="15.6" x14ac:dyDescent="0.3">
      <c r="A396" s="3">
        <v>1051</v>
      </c>
      <c r="B396" s="4" t="s">
        <v>58</v>
      </c>
      <c r="C396" s="4" t="s">
        <v>17</v>
      </c>
      <c r="D396" s="4" t="s">
        <v>13</v>
      </c>
      <c r="E396" s="4" t="s">
        <v>36</v>
      </c>
      <c r="F396" s="4">
        <v>12</v>
      </c>
      <c r="G396" s="4">
        <v>47</v>
      </c>
      <c r="H396" s="4">
        <v>2</v>
      </c>
      <c r="I396" s="5">
        <v>46037</v>
      </c>
      <c r="J396" s="5">
        <v>46045</v>
      </c>
      <c r="K396" s="6" t="s">
        <v>15</v>
      </c>
    </row>
    <row r="397" spans="1:11" ht="15.6" x14ac:dyDescent="0.3">
      <c r="A397" s="3">
        <v>1086</v>
      </c>
      <c r="B397" s="4" t="s">
        <v>32</v>
      </c>
      <c r="C397" s="4" t="s">
        <v>12</v>
      </c>
      <c r="D397" s="4" t="s">
        <v>13</v>
      </c>
      <c r="E397" s="4" t="s">
        <v>53</v>
      </c>
      <c r="F397" s="4">
        <v>15</v>
      </c>
      <c r="G397" s="4">
        <v>40</v>
      </c>
      <c r="H397" s="4">
        <v>10</v>
      </c>
      <c r="I397" s="5">
        <v>46045</v>
      </c>
      <c r="J397" s="5">
        <v>46049</v>
      </c>
      <c r="K397" s="6" t="s">
        <v>24</v>
      </c>
    </row>
    <row r="398" spans="1:11" ht="15.6" x14ac:dyDescent="0.3">
      <c r="A398" s="3">
        <v>1318</v>
      </c>
      <c r="B398" s="4" t="s">
        <v>11</v>
      </c>
      <c r="C398" s="4" t="s">
        <v>43</v>
      </c>
      <c r="D398" s="4" t="s">
        <v>13</v>
      </c>
      <c r="E398" s="4" t="s">
        <v>50</v>
      </c>
      <c r="F398" s="4">
        <v>4</v>
      </c>
      <c r="G398" s="4">
        <v>38</v>
      </c>
      <c r="H398" s="4">
        <v>12</v>
      </c>
      <c r="I398" s="5">
        <v>46169</v>
      </c>
      <c r="J398" s="5">
        <v>46175</v>
      </c>
      <c r="K398" s="6" t="s">
        <v>29</v>
      </c>
    </row>
    <row r="399" spans="1:11" ht="15.6" x14ac:dyDescent="0.3">
      <c r="A399" s="3">
        <v>1309</v>
      </c>
      <c r="B399" s="4" t="s">
        <v>29</v>
      </c>
      <c r="C399" s="4" t="s">
        <v>31</v>
      </c>
      <c r="D399" s="4" t="s">
        <v>13</v>
      </c>
      <c r="E399" s="4" t="s">
        <v>50</v>
      </c>
      <c r="F399" s="4">
        <v>2</v>
      </c>
      <c r="G399" s="4">
        <v>35</v>
      </c>
      <c r="H399" s="4">
        <v>5</v>
      </c>
      <c r="I399" s="5">
        <v>46197</v>
      </c>
      <c r="J399" s="5">
        <v>46198</v>
      </c>
      <c r="K399" s="6" t="s">
        <v>24</v>
      </c>
    </row>
    <row r="400" spans="1:11" ht="15.6" x14ac:dyDescent="0.3">
      <c r="A400" s="3">
        <v>1114</v>
      </c>
      <c r="B400" s="4" t="s">
        <v>16</v>
      </c>
      <c r="C400" s="4" t="s">
        <v>25</v>
      </c>
      <c r="D400" s="4" t="s">
        <v>13</v>
      </c>
      <c r="E400" s="4" t="s">
        <v>50</v>
      </c>
      <c r="F400" s="4">
        <v>13</v>
      </c>
      <c r="G400" s="4">
        <v>32</v>
      </c>
      <c r="H400" s="4">
        <v>15</v>
      </c>
      <c r="I400" s="5">
        <v>46066</v>
      </c>
      <c r="J400" s="5">
        <v>46069</v>
      </c>
      <c r="K400" s="6" t="s">
        <v>15</v>
      </c>
    </row>
    <row r="401" spans="1:11" ht="16.2" thickBot="1" x14ac:dyDescent="0.35">
      <c r="A401" s="7">
        <v>1125</v>
      </c>
      <c r="B401" s="8" t="s">
        <v>49</v>
      </c>
      <c r="C401" s="8" t="s">
        <v>33</v>
      </c>
      <c r="D401" s="8" t="s">
        <v>13</v>
      </c>
      <c r="E401" s="8" t="s">
        <v>14</v>
      </c>
      <c r="F401" s="8">
        <v>6</v>
      </c>
      <c r="G401" s="8">
        <v>30</v>
      </c>
      <c r="H401" s="8">
        <v>2</v>
      </c>
      <c r="I401" s="9">
        <v>46133</v>
      </c>
      <c r="J401" s="9">
        <v>46138</v>
      </c>
      <c r="K401" s="10" t="s">
        <v>24</v>
      </c>
    </row>
  </sheetData>
  <sortState xmlns:xlrd2="http://schemas.microsoft.com/office/spreadsheetml/2017/richdata2" ref="A2:K401">
    <sortCondition descending="1" ref="G1:G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EC50-F2C3-4B90-A5C9-04D575995255}">
  <sheetPr filterMode="1"/>
  <dimension ref="A1:K401"/>
  <sheetViews>
    <sheetView zoomScale="85" zoomScaleNormal="85" workbookViewId="0">
      <selection activeCell="H20" sqref="H20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</cols>
  <sheetData>
    <row r="1" spans="1:11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ht="15.6" hidden="1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6" t="s">
        <v>15</v>
      </c>
    </row>
    <row r="3" spans="1:11" ht="15.6" hidden="1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6" t="s">
        <v>20</v>
      </c>
    </row>
    <row r="4" spans="1:11" ht="15.6" hidden="1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6" t="s">
        <v>24</v>
      </c>
    </row>
    <row r="5" spans="1:11" ht="15.6" hidden="1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6" t="s">
        <v>20</v>
      </c>
    </row>
    <row r="6" spans="1:11" ht="15.6" hidden="1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6" t="s">
        <v>24</v>
      </c>
    </row>
    <row r="7" spans="1:11" ht="15.6" hidden="1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6" t="s">
        <v>29</v>
      </c>
    </row>
    <row r="8" spans="1:11" ht="15.6" hidden="1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6" t="s">
        <v>24</v>
      </c>
    </row>
    <row r="9" spans="1:11" ht="15.6" hidden="1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6" t="s">
        <v>24</v>
      </c>
    </row>
    <row r="10" spans="1:11" ht="15.6" hidden="1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6" t="s">
        <v>24</v>
      </c>
    </row>
    <row r="11" spans="1:11" ht="15.6" hidden="1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6" t="s">
        <v>15</v>
      </c>
    </row>
    <row r="12" spans="1:11" ht="15.6" hidden="1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6" t="s">
        <v>15</v>
      </c>
    </row>
    <row r="13" spans="1:11" ht="15.6" hidden="1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6" t="s">
        <v>29</v>
      </c>
    </row>
    <row r="14" spans="1:11" ht="15.6" hidden="1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6" t="s">
        <v>29</v>
      </c>
    </row>
    <row r="15" spans="1:11" ht="15.6" hidden="1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6" t="s">
        <v>29</v>
      </c>
    </row>
    <row r="16" spans="1:11" ht="15.6" hidden="1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6" t="s">
        <v>20</v>
      </c>
    </row>
    <row r="17" spans="1:11" ht="15.6" hidden="1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6" t="s">
        <v>24</v>
      </c>
    </row>
    <row r="18" spans="1:11" ht="15.6" hidden="1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6" t="s">
        <v>15</v>
      </c>
    </row>
    <row r="19" spans="1:11" ht="15.6" hidden="1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6" t="s">
        <v>29</v>
      </c>
    </row>
    <row r="20" spans="1:11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6" t="s">
        <v>20</v>
      </c>
    </row>
    <row r="21" spans="1:11" ht="15.6" hidden="1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6" t="s">
        <v>15</v>
      </c>
    </row>
    <row r="22" spans="1:11" ht="15.6" hidden="1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6" t="s">
        <v>24</v>
      </c>
    </row>
    <row r="23" spans="1:11" ht="15.6" hidden="1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6" t="s">
        <v>29</v>
      </c>
    </row>
    <row r="24" spans="1:11" ht="15.6" hidden="1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6" t="s">
        <v>29</v>
      </c>
    </row>
    <row r="25" spans="1:11" ht="15.6" hidden="1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6" t="s">
        <v>15</v>
      </c>
    </row>
    <row r="26" spans="1:11" ht="15.6" hidden="1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6" t="s">
        <v>15</v>
      </c>
    </row>
    <row r="27" spans="1:11" ht="15.6" hidden="1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6" t="s">
        <v>29</v>
      </c>
    </row>
    <row r="28" spans="1:11" ht="15.6" hidden="1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6" t="s">
        <v>51</v>
      </c>
    </row>
    <row r="29" spans="1:11" ht="15.6" hidden="1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6" t="s">
        <v>24</v>
      </c>
    </row>
    <row r="30" spans="1:11" ht="15.6" hidden="1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6" t="s">
        <v>24</v>
      </c>
    </row>
    <row r="31" spans="1:11" ht="15.6" hidden="1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6" t="s">
        <v>15</v>
      </c>
    </row>
    <row r="32" spans="1:11" ht="15.6" hidden="1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6" t="s">
        <v>20</v>
      </c>
    </row>
    <row r="33" spans="1:11" ht="15.6" hidden="1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6" t="s">
        <v>29</v>
      </c>
    </row>
    <row r="34" spans="1:11" ht="15.6" hidden="1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6" t="s">
        <v>29</v>
      </c>
    </row>
    <row r="35" spans="1:11" ht="15.6" hidden="1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6" t="s">
        <v>51</v>
      </c>
    </row>
    <row r="36" spans="1:11" ht="15.6" hidden="1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6" t="s">
        <v>24</v>
      </c>
    </row>
    <row r="37" spans="1:11" ht="15.6" hidden="1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6" t="s">
        <v>24</v>
      </c>
    </row>
    <row r="38" spans="1:11" ht="15.6" hidden="1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6" t="s">
        <v>24</v>
      </c>
    </row>
    <row r="39" spans="1:11" ht="15.6" hidden="1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6" t="s">
        <v>51</v>
      </c>
    </row>
    <row r="40" spans="1:11" ht="15.6" hidden="1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6" t="s">
        <v>20</v>
      </c>
    </row>
    <row r="41" spans="1:11" ht="15.6" hidden="1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6" t="s">
        <v>24</v>
      </c>
    </row>
    <row r="42" spans="1:11" ht="15.6" hidden="1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6" t="s">
        <v>15</v>
      </c>
    </row>
    <row r="43" spans="1:11" ht="15.6" hidden="1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6" t="s">
        <v>29</v>
      </c>
    </row>
    <row r="44" spans="1:11" ht="15.6" hidden="1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6" t="s">
        <v>29</v>
      </c>
    </row>
    <row r="45" spans="1:11" ht="15.6" hidden="1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6" t="s">
        <v>20</v>
      </c>
    </row>
    <row r="46" spans="1:11" ht="15.6" hidden="1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6" t="s">
        <v>29</v>
      </c>
    </row>
    <row r="47" spans="1:11" ht="15.6" hidden="1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6" t="s">
        <v>29</v>
      </c>
    </row>
    <row r="48" spans="1:11" ht="15.6" hidden="1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6" t="s">
        <v>15</v>
      </c>
    </row>
    <row r="49" spans="1:11" ht="15.6" hidden="1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6" t="s">
        <v>24</v>
      </c>
    </row>
    <row r="50" spans="1:11" ht="15.6" hidden="1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6" t="s">
        <v>24</v>
      </c>
    </row>
    <row r="51" spans="1:11" ht="15.6" hidden="1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6" t="s">
        <v>29</v>
      </c>
    </row>
    <row r="52" spans="1:11" ht="15.6" hidden="1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6" t="s">
        <v>15</v>
      </c>
    </row>
    <row r="53" spans="1:11" ht="15.6" hidden="1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6" t="s">
        <v>20</v>
      </c>
    </row>
    <row r="54" spans="1:11" ht="15.6" hidden="1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6" t="s">
        <v>24</v>
      </c>
    </row>
    <row r="55" spans="1:11" ht="15.6" hidden="1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6" t="s">
        <v>51</v>
      </c>
    </row>
    <row r="56" spans="1:11" ht="15.6" hidden="1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6" t="s">
        <v>15</v>
      </c>
    </row>
    <row r="57" spans="1:11" ht="15.6" hidden="1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6" t="s">
        <v>24</v>
      </c>
    </row>
    <row r="58" spans="1:11" ht="15.6" hidden="1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6" t="s">
        <v>51</v>
      </c>
    </row>
    <row r="59" spans="1:11" ht="15.6" hidden="1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6" t="s">
        <v>24</v>
      </c>
    </row>
    <row r="60" spans="1:11" ht="15.6" hidden="1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6" t="s">
        <v>51</v>
      </c>
    </row>
    <row r="61" spans="1:11" ht="15.6" hidden="1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6" t="s">
        <v>20</v>
      </c>
    </row>
    <row r="62" spans="1:11" ht="15.6" hidden="1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6" t="s">
        <v>20</v>
      </c>
    </row>
    <row r="63" spans="1:11" ht="15.6" hidden="1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6" t="s">
        <v>51</v>
      </c>
    </row>
    <row r="64" spans="1:11" ht="15.6" hidden="1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6" t="s">
        <v>15</v>
      </c>
    </row>
    <row r="65" spans="1:11" ht="15.6" hidden="1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6" t="s">
        <v>29</v>
      </c>
    </row>
    <row r="66" spans="1:11" ht="15.6" hidden="1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6" t="s">
        <v>51</v>
      </c>
    </row>
    <row r="67" spans="1:11" ht="15.6" hidden="1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6" t="s">
        <v>15</v>
      </c>
    </row>
    <row r="68" spans="1:11" ht="15.6" hidden="1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6" t="s">
        <v>29</v>
      </c>
    </row>
    <row r="69" spans="1:11" ht="15.6" hidden="1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6" t="s">
        <v>29</v>
      </c>
    </row>
    <row r="70" spans="1:11" ht="15.6" hidden="1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6" t="s">
        <v>15</v>
      </c>
    </row>
    <row r="71" spans="1:11" ht="15.6" hidden="1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6" t="s">
        <v>29</v>
      </c>
    </row>
    <row r="72" spans="1:11" ht="15.6" hidden="1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6" t="s">
        <v>20</v>
      </c>
    </row>
    <row r="73" spans="1:11" ht="15.6" hidden="1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6" t="s">
        <v>24</v>
      </c>
    </row>
    <row r="74" spans="1:11" ht="15.6" hidden="1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6" t="s">
        <v>51</v>
      </c>
    </row>
    <row r="75" spans="1:11" ht="15.6" hidden="1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6" t="s">
        <v>29</v>
      </c>
    </row>
    <row r="76" spans="1:11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6" t="s">
        <v>51</v>
      </c>
    </row>
    <row r="77" spans="1:11" ht="15.6" hidden="1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6" t="s">
        <v>29</v>
      </c>
    </row>
    <row r="78" spans="1:11" ht="15.6" hidden="1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6" t="s">
        <v>51</v>
      </c>
    </row>
    <row r="79" spans="1:11" ht="15.6" hidden="1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6" t="s">
        <v>29</v>
      </c>
    </row>
    <row r="80" spans="1:11" ht="15.6" hidden="1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6" t="s">
        <v>51</v>
      </c>
    </row>
    <row r="81" spans="1:11" ht="15.6" hidden="1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6" t="s">
        <v>24</v>
      </c>
    </row>
    <row r="82" spans="1:11" ht="15.6" hidden="1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6" t="s">
        <v>51</v>
      </c>
    </row>
    <row r="83" spans="1:11" ht="15.6" hidden="1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6" t="s">
        <v>51</v>
      </c>
    </row>
    <row r="84" spans="1:11" ht="15.6" hidden="1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6" t="s">
        <v>15</v>
      </c>
    </row>
    <row r="85" spans="1:11" ht="15.6" hidden="1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6" t="s">
        <v>20</v>
      </c>
    </row>
    <row r="86" spans="1:11" ht="15.6" hidden="1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6" t="s">
        <v>24</v>
      </c>
    </row>
    <row r="87" spans="1:11" ht="15.6" hidden="1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6" t="s">
        <v>24</v>
      </c>
    </row>
    <row r="88" spans="1:11" ht="15.6" hidden="1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6" t="s">
        <v>24</v>
      </c>
    </row>
    <row r="89" spans="1:11" ht="15.6" hidden="1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6" t="s">
        <v>20</v>
      </c>
    </row>
    <row r="90" spans="1:11" ht="15.6" hidden="1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6" t="s">
        <v>24</v>
      </c>
    </row>
    <row r="91" spans="1:11" ht="15.6" hidden="1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6" t="s">
        <v>24</v>
      </c>
    </row>
    <row r="92" spans="1:11" ht="15.6" hidden="1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6" t="s">
        <v>15</v>
      </c>
    </row>
    <row r="93" spans="1:11" ht="15.6" hidden="1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6" t="s">
        <v>29</v>
      </c>
    </row>
    <row r="94" spans="1:11" ht="15.6" hidden="1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6" t="s">
        <v>51</v>
      </c>
    </row>
    <row r="95" spans="1:11" ht="15.6" hidden="1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6" t="s">
        <v>29</v>
      </c>
    </row>
    <row r="96" spans="1:11" ht="15.6" hidden="1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6" t="s">
        <v>20</v>
      </c>
    </row>
    <row r="97" spans="1:11" ht="15.6" hidden="1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6" t="s">
        <v>20</v>
      </c>
    </row>
    <row r="98" spans="1:11" ht="15.6" hidden="1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6" t="s">
        <v>24</v>
      </c>
    </row>
    <row r="99" spans="1:11" ht="15.6" hidden="1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6" t="s">
        <v>51</v>
      </c>
    </row>
    <row r="100" spans="1:11" ht="15.6" hidden="1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6" t="s">
        <v>15</v>
      </c>
    </row>
    <row r="101" spans="1:11" ht="15.6" hidden="1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6" t="s">
        <v>51</v>
      </c>
    </row>
    <row r="102" spans="1:11" ht="15.6" hidden="1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6" t="s">
        <v>24</v>
      </c>
    </row>
    <row r="103" spans="1:11" ht="15.6" hidden="1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6" t="s">
        <v>51</v>
      </c>
    </row>
    <row r="104" spans="1:11" ht="15.6" hidden="1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6" t="s">
        <v>29</v>
      </c>
    </row>
    <row r="105" spans="1:11" ht="15.6" hidden="1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6" t="s">
        <v>29</v>
      </c>
    </row>
    <row r="106" spans="1:11" ht="15.6" hidden="1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6" t="s">
        <v>51</v>
      </c>
    </row>
    <row r="107" spans="1:11" ht="15.6" hidden="1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6" t="s">
        <v>29</v>
      </c>
    </row>
    <row r="108" spans="1:11" ht="15.6" hidden="1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6" t="s">
        <v>15</v>
      </c>
    </row>
    <row r="109" spans="1:11" ht="15.6" hidden="1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6" t="s">
        <v>20</v>
      </c>
    </row>
    <row r="110" spans="1:11" ht="15.6" hidden="1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6" t="s">
        <v>20</v>
      </c>
    </row>
    <row r="111" spans="1:11" ht="15.6" hidden="1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6" t="s">
        <v>29</v>
      </c>
    </row>
    <row r="112" spans="1:11" ht="15.6" hidden="1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6" t="s">
        <v>29</v>
      </c>
    </row>
    <row r="113" spans="1:11" ht="15.6" hidden="1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6" t="s">
        <v>15</v>
      </c>
    </row>
    <row r="114" spans="1:11" ht="15.6" hidden="1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6" t="s">
        <v>24</v>
      </c>
    </row>
    <row r="115" spans="1:11" ht="15.6" hidden="1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6" t="s">
        <v>15</v>
      </c>
    </row>
    <row r="116" spans="1:11" ht="15.6" hidden="1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6" t="s">
        <v>29</v>
      </c>
    </row>
    <row r="117" spans="1:11" ht="15.6" hidden="1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6" t="s">
        <v>15</v>
      </c>
    </row>
    <row r="118" spans="1:11" ht="15.6" hidden="1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6" t="s">
        <v>29</v>
      </c>
    </row>
    <row r="119" spans="1:11" ht="15.6" hidden="1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6" t="s">
        <v>29</v>
      </c>
    </row>
    <row r="120" spans="1:11" ht="15.6" hidden="1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6" t="s">
        <v>51</v>
      </c>
    </row>
    <row r="121" spans="1:11" ht="15.6" hidden="1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6" t="s">
        <v>51</v>
      </c>
    </row>
    <row r="122" spans="1:11" ht="15.6" hidden="1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6" t="s">
        <v>29</v>
      </c>
    </row>
    <row r="123" spans="1:11" ht="15.6" hidden="1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6" t="s">
        <v>29</v>
      </c>
    </row>
    <row r="124" spans="1:11" ht="15.6" hidden="1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6" t="s">
        <v>29</v>
      </c>
    </row>
    <row r="125" spans="1:11" ht="15.6" hidden="1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6" t="s">
        <v>51</v>
      </c>
    </row>
    <row r="126" spans="1:11" ht="15.6" hidden="1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6" t="s">
        <v>24</v>
      </c>
    </row>
    <row r="127" spans="1:11" ht="15.6" hidden="1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6" t="s">
        <v>29</v>
      </c>
    </row>
    <row r="128" spans="1:11" ht="15.6" hidden="1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6" t="s">
        <v>29</v>
      </c>
    </row>
    <row r="129" spans="1:11" ht="15.6" hidden="1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6" t="s">
        <v>29</v>
      </c>
    </row>
    <row r="130" spans="1:11" ht="15.6" hidden="1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6" t="s">
        <v>29</v>
      </c>
    </row>
    <row r="131" spans="1:11" ht="15.6" hidden="1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6" t="s">
        <v>24</v>
      </c>
    </row>
    <row r="132" spans="1:11" ht="15.6" hidden="1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6" t="s">
        <v>51</v>
      </c>
    </row>
    <row r="133" spans="1:11" ht="15.6" hidden="1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6" t="s">
        <v>24</v>
      </c>
    </row>
    <row r="134" spans="1:11" ht="15.6" hidden="1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6" t="s">
        <v>51</v>
      </c>
    </row>
    <row r="135" spans="1:11" ht="15.6" hidden="1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6" t="s">
        <v>24</v>
      </c>
    </row>
    <row r="136" spans="1:11" ht="15.6" hidden="1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6" t="s">
        <v>15</v>
      </c>
    </row>
    <row r="137" spans="1:11" ht="15.6" hidden="1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6" t="s">
        <v>24</v>
      </c>
    </row>
    <row r="138" spans="1:11" ht="15.6" hidden="1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6" t="s">
        <v>29</v>
      </c>
    </row>
    <row r="139" spans="1:11" ht="15.6" hidden="1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6" t="s">
        <v>51</v>
      </c>
    </row>
    <row r="140" spans="1:11" ht="15.6" hidden="1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6" t="s">
        <v>15</v>
      </c>
    </row>
    <row r="141" spans="1:11" ht="15.6" hidden="1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6" t="s">
        <v>15</v>
      </c>
    </row>
    <row r="142" spans="1:11" ht="15.6" hidden="1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6" t="s">
        <v>15</v>
      </c>
    </row>
    <row r="143" spans="1:11" ht="15.6" hidden="1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6" t="s">
        <v>29</v>
      </c>
    </row>
    <row r="144" spans="1:11" ht="15.6" hidden="1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6" t="s">
        <v>24</v>
      </c>
    </row>
    <row r="145" spans="1:11" ht="15.6" hidden="1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6" t="s">
        <v>20</v>
      </c>
    </row>
    <row r="146" spans="1:11" ht="15.6" hidden="1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6" t="s">
        <v>24</v>
      </c>
    </row>
    <row r="147" spans="1:11" ht="15.6" hidden="1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6" t="s">
        <v>29</v>
      </c>
    </row>
    <row r="148" spans="1:11" ht="15.6" hidden="1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6" t="s">
        <v>20</v>
      </c>
    </row>
    <row r="149" spans="1:11" ht="15.6" hidden="1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6" t="s">
        <v>24</v>
      </c>
    </row>
    <row r="150" spans="1:11" ht="15.6" hidden="1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6" t="s">
        <v>29</v>
      </c>
    </row>
    <row r="151" spans="1:11" ht="15.6" hidden="1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6" t="s">
        <v>24</v>
      </c>
    </row>
    <row r="152" spans="1:11" ht="15.6" hidden="1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6" t="s">
        <v>51</v>
      </c>
    </row>
    <row r="153" spans="1:11" ht="15.6" hidden="1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6" t="s">
        <v>15</v>
      </c>
    </row>
    <row r="154" spans="1:11" ht="15.6" hidden="1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6" t="s">
        <v>29</v>
      </c>
    </row>
    <row r="155" spans="1:11" ht="15.6" hidden="1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6" t="s">
        <v>51</v>
      </c>
    </row>
    <row r="156" spans="1:11" ht="15.6" hidden="1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6" t="s">
        <v>24</v>
      </c>
    </row>
    <row r="157" spans="1:11" ht="15.6" hidden="1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6" t="s">
        <v>15</v>
      </c>
    </row>
    <row r="158" spans="1:11" ht="15.6" hidden="1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6" t="s">
        <v>29</v>
      </c>
    </row>
    <row r="159" spans="1:11" ht="15.6" hidden="1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6" t="s">
        <v>51</v>
      </c>
    </row>
    <row r="160" spans="1:11" ht="15.6" hidden="1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6" t="s">
        <v>15</v>
      </c>
    </row>
    <row r="161" spans="1:11" ht="15.6" hidden="1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6" t="s">
        <v>51</v>
      </c>
    </row>
    <row r="162" spans="1:11" ht="15.6" hidden="1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6" t="s">
        <v>20</v>
      </c>
    </row>
    <row r="163" spans="1:11" ht="15.6" hidden="1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6" t="s">
        <v>20</v>
      </c>
    </row>
    <row r="164" spans="1:11" ht="15.6" hidden="1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6" t="s">
        <v>29</v>
      </c>
    </row>
    <row r="165" spans="1:11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6" t="s">
        <v>51</v>
      </c>
    </row>
    <row r="166" spans="1:11" ht="15.6" hidden="1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6" t="s">
        <v>51</v>
      </c>
    </row>
    <row r="167" spans="1:11" ht="15.6" hidden="1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6" t="s">
        <v>20</v>
      </c>
    </row>
    <row r="168" spans="1:11" ht="15.6" hidden="1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6" t="s">
        <v>29</v>
      </c>
    </row>
    <row r="169" spans="1:11" ht="15.6" hidden="1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6" t="s">
        <v>29</v>
      </c>
    </row>
    <row r="170" spans="1:11" ht="15.6" hidden="1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6" t="s">
        <v>24</v>
      </c>
    </row>
    <row r="171" spans="1:11" ht="15.6" hidden="1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6" t="s">
        <v>24</v>
      </c>
    </row>
    <row r="172" spans="1:11" ht="15.6" hidden="1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6" t="s">
        <v>20</v>
      </c>
    </row>
    <row r="173" spans="1:11" ht="15.6" hidden="1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6" t="s">
        <v>24</v>
      </c>
    </row>
    <row r="174" spans="1:11" ht="15.6" hidden="1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6" t="s">
        <v>51</v>
      </c>
    </row>
    <row r="175" spans="1:11" ht="15.6" hidden="1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6" t="s">
        <v>24</v>
      </c>
    </row>
    <row r="176" spans="1:11" ht="15.6" hidden="1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6" t="s">
        <v>20</v>
      </c>
    </row>
    <row r="177" spans="1:11" ht="15.6" hidden="1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6" t="s">
        <v>29</v>
      </c>
    </row>
    <row r="178" spans="1:11" ht="15.6" hidden="1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6" t="s">
        <v>20</v>
      </c>
    </row>
    <row r="179" spans="1:11" ht="15.6" hidden="1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6" t="s">
        <v>20</v>
      </c>
    </row>
    <row r="180" spans="1:11" ht="15.6" hidden="1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6" t="s">
        <v>15</v>
      </c>
    </row>
    <row r="181" spans="1:11" ht="15.6" hidden="1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6" t="s">
        <v>29</v>
      </c>
    </row>
    <row r="182" spans="1:11" ht="15.6" hidden="1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6" t="s">
        <v>15</v>
      </c>
    </row>
    <row r="183" spans="1:11" ht="15.6" hidden="1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6" t="s">
        <v>24</v>
      </c>
    </row>
    <row r="184" spans="1:11" ht="15.6" hidden="1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6" t="s">
        <v>20</v>
      </c>
    </row>
    <row r="185" spans="1:11" ht="15.6" hidden="1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6" t="s">
        <v>29</v>
      </c>
    </row>
    <row r="186" spans="1:11" ht="15.6" hidden="1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6" t="s">
        <v>15</v>
      </c>
    </row>
    <row r="187" spans="1:11" ht="15.6" hidden="1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6" t="s">
        <v>24</v>
      </c>
    </row>
    <row r="188" spans="1:11" ht="15.6" hidden="1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6" t="s">
        <v>51</v>
      </c>
    </row>
    <row r="189" spans="1:11" ht="15.6" hidden="1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6" t="s">
        <v>15</v>
      </c>
    </row>
    <row r="190" spans="1:11" ht="15.6" hidden="1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6" t="s">
        <v>29</v>
      </c>
    </row>
    <row r="191" spans="1:11" ht="15.6" hidden="1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6" t="s">
        <v>20</v>
      </c>
    </row>
    <row r="192" spans="1:11" ht="15.6" hidden="1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6" t="s">
        <v>20</v>
      </c>
    </row>
    <row r="193" spans="1:11" ht="15.6" hidden="1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6" t="s">
        <v>24</v>
      </c>
    </row>
    <row r="194" spans="1:11" ht="15.6" hidden="1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6" t="s">
        <v>29</v>
      </c>
    </row>
    <row r="195" spans="1:11" ht="15.6" hidden="1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6" t="s">
        <v>51</v>
      </c>
    </row>
    <row r="196" spans="1:11" ht="15.6" hidden="1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6" t="s">
        <v>51</v>
      </c>
    </row>
    <row r="197" spans="1:11" ht="15.6" hidden="1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6" t="s">
        <v>20</v>
      </c>
    </row>
    <row r="198" spans="1:11" ht="15.6" hidden="1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6" t="s">
        <v>15</v>
      </c>
    </row>
    <row r="199" spans="1:11" ht="15.6" hidden="1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6" t="s">
        <v>51</v>
      </c>
    </row>
    <row r="200" spans="1:11" ht="15.6" hidden="1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6" t="s">
        <v>24</v>
      </c>
    </row>
    <row r="201" spans="1:11" ht="15.6" hidden="1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6" t="s">
        <v>29</v>
      </c>
    </row>
    <row r="202" spans="1:11" ht="15.6" hidden="1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6" t="s">
        <v>20</v>
      </c>
    </row>
    <row r="203" spans="1:11" ht="15.6" hidden="1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6" t="s">
        <v>15</v>
      </c>
    </row>
    <row r="204" spans="1:11" ht="15.6" hidden="1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6" t="s">
        <v>51</v>
      </c>
    </row>
    <row r="205" spans="1:11" ht="15.6" hidden="1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6" t="s">
        <v>20</v>
      </c>
    </row>
    <row r="206" spans="1:11" ht="15.6" hidden="1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6" t="s">
        <v>51</v>
      </c>
    </row>
    <row r="207" spans="1:11" ht="15.6" hidden="1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6" t="s">
        <v>15</v>
      </c>
    </row>
    <row r="208" spans="1:11" ht="15.6" hidden="1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6" t="s">
        <v>24</v>
      </c>
    </row>
    <row r="209" spans="1:11" ht="15.6" hidden="1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6" t="s">
        <v>20</v>
      </c>
    </row>
    <row r="210" spans="1:11" ht="15.6" hidden="1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6" t="s">
        <v>20</v>
      </c>
    </row>
    <row r="211" spans="1:11" ht="15.6" hidden="1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6" t="s">
        <v>29</v>
      </c>
    </row>
    <row r="212" spans="1:11" ht="15.6" hidden="1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6" t="s">
        <v>15</v>
      </c>
    </row>
    <row r="213" spans="1:11" ht="15.6" hidden="1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6" t="s">
        <v>29</v>
      </c>
    </row>
    <row r="214" spans="1:11" ht="15.6" hidden="1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6" t="s">
        <v>15</v>
      </c>
    </row>
    <row r="215" spans="1:11" ht="15.6" hidden="1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6" t="s">
        <v>51</v>
      </c>
    </row>
    <row r="216" spans="1:11" ht="15.6" hidden="1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6" t="s">
        <v>29</v>
      </c>
    </row>
    <row r="217" spans="1:11" ht="15.6" hidden="1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6" t="s">
        <v>29</v>
      </c>
    </row>
    <row r="218" spans="1:11" ht="15.6" hidden="1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6" t="s">
        <v>29</v>
      </c>
    </row>
    <row r="219" spans="1:11" ht="15.6" hidden="1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6" t="s">
        <v>51</v>
      </c>
    </row>
    <row r="220" spans="1:11" ht="15.6" hidden="1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6" t="s">
        <v>29</v>
      </c>
    </row>
    <row r="221" spans="1:11" ht="15.6" hidden="1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6" t="s">
        <v>24</v>
      </c>
    </row>
    <row r="222" spans="1:11" ht="15.6" hidden="1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6" t="s">
        <v>51</v>
      </c>
    </row>
    <row r="223" spans="1:11" ht="15.6" hidden="1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6" t="s">
        <v>15</v>
      </c>
    </row>
    <row r="224" spans="1:11" ht="15.6" hidden="1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6" t="s">
        <v>15</v>
      </c>
    </row>
    <row r="225" spans="1:11" ht="15.6" hidden="1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6" t="s">
        <v>24</v>
      </c>
    </row>
    <row r="226" spans="1:11" ht="15.6" hidden="1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6" t="s">
        <v>20</v>
      </c>
    </row>
    <row r="227" spans="1:11" ht="15.6" hidden="1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6" t="s">
        <v>29</v>
      </c>
    </row>
    <row r="228" spans="1:11" ht="15.6" hidden="1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6" t="s">
        <v>15</v>
      </c>
    </row>
    <row r="229" spans="1:11" ht="15.6" hidden="1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6" t="s">
        <v>24</v>
      </c>
    </row>
    <row r="230" spans="1:11" ht="15.6" hidden="1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6" t="s">
        <v>20</v>
      </c>
    </row>
    <row r="231" spans="1:11" ht="15.6" hidden="1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6" t="s">
        <v>24</v>
      </c>
    </row>
    <row r="232" spans="1:11" ht="15.6" hidden="1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6" t="s">
        <v>20</v>
      </c>
    </row>
    <row r="233" spans="1:11" ht="15.6" hidden="1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6" t="s">
        <v>15</v>
      </c>
    </row>
    <row r="234" spans="1:11" ht="15.6" hidden="1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6" t="s">
        <v>24</v>
      </c>
    </row>
    <row r="235" spans="1:11" ht="15.6" hidden="1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6" t="s">
        <v>51</v>
      </c>
    </row>
    <row r="236" spans="1:11" ht="15.6" hidden="1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6" t="s">
        <v>29</v>
      </c>
    </row>
    <row r="237" spans="1:11" ht="15.6" hidden="1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6" t="s">
        <v>29</v>
      </c>
    </row>
    <row r="238" spans="1:11" ht="15.6" hidden="1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6" t="s">
        <v>15</v>
      </c>
    </row>
    <row r="239" spans="1:11" ht="15.6" hidden="1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6" t="s">
        <v>51</v>
      </c>
    </row>
    <row r="240" spans="1:11" ht="15.6" hidden="1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6" t="s">
        <v>15</v>
      </c>
    </row>
    <row r="241" spans="1:11" ht="15.6" hidden="1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6" t="s">
        <v>29</v>
      </c>
    </row>
    <row r="242" spans="1:11" ht="15.6" hidden="1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6" t="s">
        <v>15</v>
      </c>
    </row>
    <row r="243" spans="1:11" ht="15.6" hidden="1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6" t="s">
        <v>51</v>
      </c>
    </row>
    <row r="244" spans="1:11" ht="15.6" hidden="1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6" t="s">
        <v>24</v>
      </c>
    </row>
    <row r="245" spans="1:11" ht="15.6" hidden="1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6" t="s">
        <v>15</v>
      </c>
    </row>
    <row r="246" spans="1:11" ht="15.6" hidden="1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6" t="s">
        <v>29</v>
      </c>
    </row>
    <row r="247" spans="1:11" ht="15.6" hidden="1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6" t="s">
        <v>51</v>
      </c>
    </row>
    <row r="248" spans="1:11" ht="15.6" hidden="1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6" t="s">
        <v>20</v>
      </c>
    </row>
    <row r="249" spans="1:11" ht="15.6" hidden="1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6" t="s">
        <v>29</v>
      </c>
    </row>
    <row r="250" spans="1:11" ht="15.6" hidden="1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6" t="s">
        <v>20</v>
      </c>
    </row>
    <row r="251" spans="1:11" ht="15.6" hidden="1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6" t="s">
        <v>29</v>
      </c>
    </row>
    <row r="252" spans="1:11" ht="15.6" hidden="1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6" t="s">
        <v>51</v>
      </c>
    </row>
    <row r="253" spans="1:11" ht="15.6" hidden="1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6" t="s">
        <v>20</v>
      </c>
    </row>
    <row r="254" spans="1:11" ht="15.6" hidden="1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6" t="s">
        <v>29</v>
      </c>
    </row>
    <row r="255" spans="1:11" ht="15.6" hidden="1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6" t="s">
        <v>24</v>
      </c>
    </row>
    <row r="256" spans="1:11" ht="15.6" hidden="1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</row>
    <row r="257" spans="1:11" ht="15.6" hidden="1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6" t="s">
        <v>15</v>
      </c>
    </row>
    <row r="258" spans="1:11" ht="15.6" hidden="1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6" t="s">
        <v>15</v>
      </c>
    </row>
    <row r="259" spans="1:11" ht="15.6" hidden="1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6" t="s">
        <v>29</v>
      </c>
    </row>
    <row r="260" spans="1:11" ht="15.6" hidden="1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6" t="s">
        <v>15</v>
      </c>
    </row>
    <row r="261" spans="1:11" ht="15.6" hidden="1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6" t="s">
        <v>29</v>
      </c>
    </row>
    <row r="262" spans="1:11" ht="15.6" hidden="1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6" t="s">
        <v>51</v>
      </c>
    </row>
    <row r="263" spans="1:11" ht="15.6" hidden="1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6" t="s">
        <v>15</v>
      </c>
    </row>
    <row r="264" spans="1:11" ht="15.6" hidden="1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6" t="s">
        <v>51</v>
      </c>
    </row>
    <row r="265" spans="1:11" ht="15.6" hidden="1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6" t="s">
        <v>20</v>
      </c>
    </row>
    <row r="266" spans="1:11" ht="15.6" hidden="1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6" t="s">
        <v>51</v>
      </c>
    </row>
    <row r="267" spans="1:11" ht="15.6" hidden="1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6" t="s">
        <v>51</v>
      </c>
    </row>
    <row r="268" spans="1:11" ht="15.6" hidden="1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6" t="s">
        <v>20</v>
      </c>
    </row>
    <row r="269" spans="1:11" ht="15.6" hidden="1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6" t="s">
        <v>20</v>
      </c>
    </row>
    <row r="270" spans="1:11" ht="15.6" hidden="1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6" t="s">
        <v>15</v>
      </c>
    </row>
    <row r="271" spans="1:11" ht="15.6" hidden="1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6" t="s">
        <v>51</v>
      </c>
    </row>
    <row r="272" spans="1:11" ht="15.6" hidden="1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6" t="s">
        <v>29</v>
      </c>
    </row>
    <row r="273" spans="1:11" ht="15.6" hidden="1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6" t="s">
        <v>20</v>
      </c>
    </row>
    <row r="274" spans="1:11" ht="15.6" hidden="1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6" t="s">
        <v>20</v>
      </c>
    </row>
    <row r="275" spans="1:11" ht="15.6" hidden="1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6" t="s">
        <v>20</v>
      </c>
    </row>
    <row r="276" spans="1:11" ht="15.6" hidden="1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6" t="s">
        <v>20</v>
      </c>
    </row>
    <row r="277" spans="1:11" ht="15.6" hidden="1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6" t="s">
        <v>24</v>
      </c>
    </row>
    <row r="278" spans="1:11" ht="15.6" hidden="1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6" t="s">
        <v>15</v>
      </c>
    </row>
    <row r="279" spans="1:11" ht="15.6" hidden="1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6" t="s">
        <v>20</v>
      </c>
    </row>
    <row r="280" spans="1:11" ht="15.6" hidden="1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6" t="s">
        <v>15</v>
      </c>
    </row>
    <row r="281" spans="1:11" ht="15.6" hidden="1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6" t="s">
        <v>51</v>
      </c>
    </row>
    <row r="282" spans="1:11" ht="15.6" hidden="1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6" t="s">
        <v>24</v>
      </c>
    </row>
    <row r="283" spans="1:11" ht="15.6" hidden="1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6" t="s">
        <v>29</v>
      </c>
    </row>
    <row r="284" spans="1:11" ht="15.6" hidden="1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6" t="s">
        <v>15</v>
      </c>
    </row>
    <row r="285" spans="1:11" ht="15.6" hidden="1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6" t="s">
        <v>15</v>
      </c>
    </row>
    <row r="286" spans="1:11" ht="15.6" hidden="1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6" t="s">
        <v>20</v>
      </c>
    </row>
    <row r="287" spans="1:11" ht="15.6" hidden="1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6" t="s">
        <v>15</v>
      </c>
    </row>
    <row r="288" spans="1:11" ht="15.6" hidden="1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6" t="s">
        <v>51</v>
      </c>
    </row>
    <row r="289" spans="1:11" ht="15.6" hidden="1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6" t="s">
        <v>29</v>
      </c>
    </row>
    <row r="290" spans="1:11" ht="15.6" hidden="1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6" t="s">
        <v>24</v>
      </c>
    </row>
    <row r="291" spans="1:11" ht="15.6" hidden="1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6" t="s">
        <v>29</v>
      </c>
    </row>
    <row r="292" spans="1:11" ht="15.6" hidden="1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6" t="s">
        <v>20</v>
      </c>
    </row>
    <row r="293" spans="1:11" ht="15.6" hidden="1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6" t="s">
        <v>20</v>
      </c>
    </row>
    <row r="294" spans="1:11" ht="15.6" hidden="1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6" t="s">
        <v>20</v>
      </c>
    </row>
    <row r="295" spans="1:11" ht="15.6" hidden="1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6" t="s">
        <v>15</v>
      </c>
    </row>
    <row r="296" spans="1:11" ht="15.6" hidden="1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6" t="s">
        <v>15</v>
      </c>
    </row>
    <row r="297" spans="1:11" ht="15.6" hidden="1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6" t="s">
        <v>51</v>
      </c>
    </row>
    <row r="298" spans="1:11" ht="15.6" hidden="1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6" t="s">
        <v>29</v>
      </c>
    </row>
    <row r="299" spans="1:11" ht="15.6" hidden="1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6" t="s">
        <v>24</v>
      </c>
    </row>
    <row r="300" spans="1:11" ht="15.6" hidden="1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6" t="s">
        <v>15</v>
      </c>
    </row>
    <row r="301" spans="1:11" ht="15.6" hidden="1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6" t="s">
        <v>24</v>
      </c>
    </row>
    <row r="302" spans="1:11" ht="15.6" hidden="1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6" t="s">
        <v>24</v>
      </c>
    </row>
    <row r="303" spans="1:11" ht="15.6" hidden="1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6" t="s">
        <v>24</v>
      </c>
    </row>
    <row r="304" spans="1:11" ht="15.6" hidden="1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6" t="s">
        <v>15</v>
      </c>
    </row>
    <row r="305" spans="1:11" ht="15.6" hidden="1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6" t="s">
        <v>51</v>
      </c>
    </row>
    <row r="306" spans="1:11" ht="15.6" hidden="1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6" t="s">
        <v>51</v>
      </c>
    </row>
    <row r="307" spans="1:11" ht="15.6" hidden="1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6" t="s">
        <v>20</v>
      </c>
    </row>
    <row r="308" spans="1:11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6" t="s">
        <v>51</v>
      </c>
    </row>
    <row r="309" spans="1:11" ht="15.6" hidden="1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6" t="s">
        <v>20</v>
      </c>
    </row>
    <row r="310" spans="1:11" ht="15.6" hidden="1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6" t="s">
        <v>24</v>
      </c>
    </row>
    <row r="311" spans="1:11" ht="15.6" hidden="1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6" t="s">
        <v>29</v>
      </c>
    </row>
    <row r="312" spans="1:11" ht="15.6" hidden="1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6" t="s">
        <v>20</v>
      </c>
    </row>
    <row r="313" spans="1:11" ht="15.6" hidden="1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6" t="s">
        <v>24</v>
      </c>
    </row>
    <row r="314" spans="1:11" ht="15.6" hidden="1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6" t="s">
        <v>15</v>
      </c>
    </row>
    <row r="315" spans="1:11" ht="15.6" hidden="1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6" t="s">
        <v>29</v>
      </c>
    </row>
    <row r="316" spans="1:11" ht="15.6" hidden="1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6" t="s">
        <v>15</v>
      </c>
    </row>
    <row r="317" spans="1:11" ht="15.6" hidden="1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6" t="s">
        <v>20</v>
      </c>
    </row>
    <row r="318" spans="1:11" ht="15.6" hidden="1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6" t="s">
        <v>51</v>
      </c>
    </row>
    <row r="319" spans="1:11" ht="15.6" hidden="1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6" t="s">
        <v>29</v>
      </c>
    </row>
    <row r="320" spans="1:11" ht="15.6" hidden="1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6" t="s">
        <v>15</v>
      </c>
    </row>
    <row r="321" spans="1:11" ht="15.6" hidden="1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6" t="s">
        <v>20</v>
      </c>
    </row>
    <row r="322" spans="1:11" ht="15.6" hidden="1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6" t="s">
        <v>51</v>
      </c>
    </row>
    <row r="323" spans="1:11" ht="15.6" hidden="1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6" t="s">
        <v>15</v>
      </c>
    </row>
    <row r="324" spans="1:11" ht="15.6" hidden="1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6" t="s">
        <v>15</v>
      </c>
    </row>
    <row r="325" spans="1:11" ht="15.6" hidden="1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6" t="s">
        <v>20</v>
      </c>
    </row>
    <row r="326" spans="1:11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6" t="s">
        <v>20</v>
      </c>
    </row>
    <row r="327" spans="1:11" ht="15.6" hidden="1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6" t="s">
        <v>15</v>
      </c>
    </row>
    <row r="328" spans="1:11" ht="15.6" hidden="1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6" t="s">
        <v>15</v>
      </c>
    </row>
    <row r="329" spans="1:11" ht="15.6" hidden="1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6" t="s">
        <v>29</v>
      </c>
    </row>
    <row r="330" spans="1:11" ht="15.6" hidden="1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6" t="s">
        <v>29</v>
      </c>
    </row>
    <row r="331" spans="1:11" ht="15.6" hidden="1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6" t="s">
        <v>51</v>
      </c>
    </row>
    <row r="332" spans="1:11" ht="15.6" hidden="1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6" t="s">
        <v>15</v>
      </c>
    </row>
    <row r="333" spans="1:11" ht="15.6" hidden="1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6" t="s">
        <v>15</v>
      </c>
    </row>
    <row r="334" spans="1:11" ht="15.6" hidden="1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6" t="s">
        <v>51</v>
      </c>
    </row>
    <row r="335" spans="1:11" ht="15.6" hidden="1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6" t="s">
        <v>51</v>
      </c>
    </row>
    <row r="336" spans="1:11" ht="15.6" hidden="1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6" t="s">
        <v>15</v>
      </c>
    </row>
    <row r="337" spans="1:11" ht="15.6" hidden="1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6" t="s">
        <v>29</v>
      </c>
    </row>
    <row r="338" spans="1:11" ht="15.6" hidden="1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6" t="s">
        <v>29</v>
      </c>
    </row>
    <row r="339" spans="1:11" ht="15.6" hidden="1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6" t="s">
        <v>15</v>
      </c>
    </row>
    <row r="340" spans="1:11" ht="15.6" hidden="1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6" t="s">
        <v>20</v>
      </c>
    </row>
    <row r="341" spans="1:11" ht="15.6" hidden="1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6" t="s">
        <v>51</v>
      </c>
    </row>
    <row r="342" spans="1:11" ht="15.6" hidden="1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6" t="s">
        <v>20</v>
      </c>
    </row>
    <row r="343" spans="1:11" ht="15.6" hidden="1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6" t="s">
        <v>29</v>
      </c>
    </row>
    <row r="344" spans="1:11" ht="15.6" hidden="1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6" t="s">
        <v>15</v>
      </c>
    </row>
    <row r="345" spans="1:11" ht="15.6" hidden="1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</row>
    <row r="346" spans="1:11" ht="15.6" hidden="1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6" t="s">
        <v>29</v>
      </c>
    </row>
    <row r="347" spans="1:11" ht="15.6" hidden="1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6" t="s">
        <v>29</v>
      </c>
    </row>
    <row r="348" spans="1:11" ht="15.6" hidden="1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6" t="s">
        <v>24</v>
      </c>
    </row>
    <row r="349" spans="1:11" ht="15.6" hidden="1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6" t="s">
        <v>15</v>
      </c>
    </row>
    <row r="350" spans="1:11" ht="15.6" hidden="1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6" t="s">
        <v>20</v>
      </c>
    </row>
    <row r="351" spans="1:11" ht="15.6" hidden="1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6" t="s">
        <v>29</v>
      </c>
    </row>
    <row r="352" spans="1:11" ht="15.6" hidden="1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6" t="s">
        <v>15</v>
      </c>
    </row>
    <row r="353" spans="1:11" ht="15.6" hidden="1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6" t="s">
        <v>15</v>
      </c>
    </row>
    <row r="354" spans="1:11" ht="15.6" hidden="1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6" t="s">
        <v>24</v>
      </c>
    </row>
    <row r="355" spans="1:11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6" t="s">
        <v>51</v>
      </c>
    </row>
    <row r="356" spans="1:11" ht="15.6" hidden="1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6" t="s">
        <v>51</v>
      </c>
    </row>
    <row r="357" spans="1:11" ht="15.6" hidden="1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6" t="s">
        <v>15</v>
      </c>
    </row>
    <row r="358" spans="1:11" ht="15.6" hidden="1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6" t="s">
        <v>51</v>
      </c>
    </row>
    <row r="359" spans="1:11" ht="15.6" hidden="1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6" t="s">
        <v>20</v>
      </c>
    </row>
    <row r="360" spans="1:11" ht="15.6" hidden="1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6" t="s">
        <v>15</v>
      </c>
    </row>
    <row r="361" spans="1:11" ht="15.6" hidden="1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6" t="s">
        <v>15</v>
      </c>
    </row>
    <row r="362" spans="1:11" ht="15.6" hidden="1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6" t="s">
        <v>20</v>
      </c>
    </row>
    <row r="363" spans="1:11" ht="15.6" hidden="1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6" t="s">
        <v>29</v>
      </c>
    </row>
    <row r="364" spans="1:11" ht="15.6" hidden="1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6" t="s">
        <v>15</v>
      </c>
    </row>
    <row r="365" spans="1:11" ht="15.6" hidden="1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6" t="s">
        <v>51</v>
      </c>
    </row>
    <row r="366" spans="1:11" ht="15.6" hidden="1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6" t="s">
        <v>20</v>
      </c>
    </row>
    <row r="367" spans="1:11" ht="15.6" hidden="1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6" t="s">
        <v>29</v>
      </c>
    </row>
    <row r="368" spans="1:11" ht="15.6" hidden="1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6" t="s">
        <v>29</v>
      </c>
    </row>
    <row r="369" spans="1:11" ht="15.6" hidden="1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6" t="s">
        <v>24</v>
      </c>
    </row>
    <row r="370" spans="1:11" ht="15.6" hidden="1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6" t="s">
        <v>15</v>
      </c>
    </row>
    <row r="371" spans="1:11" ht="15.6" hidden="1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6" t="s">
        <v>15</v>
      </c>
    </row>
    <row r="372" spans="1:11" ht="15.6" hidden="1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6" t="s">
        <v>20</v>
      </c>
    </row>
    <row r="373" spans="1:11" ht="15.6" hidden="1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6" t="s">
        <v>15</v>
      </c>
    </row>
    <row r="374" spans="1:11" ht="15.6" hidden="1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6" t="s">
        <v>20</v>
      </c>
    </row>
    <row r="375" spans="1:11" ht="15.6" hidden="1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6" t="s">
        <v>51</v>
      </c>
    </row>
    <row r="376" spans="1:11" ht="15.6" hidden="1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6" t="s">
        <v>24</v>
      </c>
    </row>
    <row r="377" spans="1:11" ht="15.6" hidden="1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6" t="s">
        <v>20</v>
      </c>
    </row>
    <row r="378" spans="1:11" ht="15.6" hidden="1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6" t="s">
        <v>24</v>
      </c>
    </row>
    <row r="379" spans="1:11" ht="15.6" hidden="1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6" t="s">
        <v>51</v>
      </c>
    </row>
    <row r="380" spans="1:11" ht="15.6" hidden="1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6" t="s">
        <v>20</v>
      </c>
    </row>
    <row r="381" spans="1:11" ht="15.6" hidden="1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6" t="s">
        <v>24</v>
      </c>
    </row>
    <row r="382" spans="1:11" ht="15.6" hidden="1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6" t="s">
        <v>20</v>
      </c>
    </row>
    <row r="383" spans="1:11" ht="15.6" hidden="1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6" t="s">
        <v>15</v>
      </c>
    </row>
    <row r="384" spans="1:11" ht="15.6" hidden="1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6" t="s">
        <v>15</v>
      </c>
    </row>
    <row r="385" spans="1:11" ht="15.6" hidden="1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6" t="s">
        <v>29</v>
      </c>
    </row>
    <row r="386" spans="1:11" ht="15.6" hidden="1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6" t="s">
        <v>51</v>
      </c>
    </row>
    <row r="387" spans="1:11" ht="15.6" hidden="1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6" t="s">
        <v>51</v>
      </c>
    </row>
    <row r="388" spans="1:11" ht="15.6" hidden="1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6" t="s">
        <v>24</v>
      </c>
    </row>
    <row r="389" spans="1:11" ht="15.6" hidden="1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6" t="s">
        <v>20</v>
      </c>
    </row>
    <row r="390" spans="1:11" ht="15.6" hidden="1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6" t="s">
        <v>51</v>
      </c>
    </row>
    <row r="391" spans="1:11" ht="15.6" hidden="1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6" t="s">
        <v>51</v>
      </c>
    </row>
    <row r="392" spans="1:11" ht="15.6" hidden="1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6" t="s">
        <v>24</v>
      </c>
    </row>
    <row r="393" spans="1:11" ht="15.6" hidden="1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6" t="s">
        <v>29</v>
      </c>
    </row>
    <row r="394" spans="1:11" ht="15.6" hidden="1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6" t="s">
        <v>51</v>
      </c>
    </row>
    <row r="395" spans="1:11" ht="15.6" hidden="1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6" t="s">
        <v>15</v>
      </c>
    </row>
    <row r="396" spans="1:11" ht="15.6" hidden="1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6" t="s">
        <v>29</v>
      </c>
    </row>
    <row r="397" spans="1:11" ht="15.6" hidden="1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6" t="s">
        <v>15</v>
      </c>
    </row>
    <row r="398" spans="1:11" ht="15.6" hidden="1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6" t="s">
        <v>51</v>
      </c>
    </row>
    <row r="399" spans="1:11" ht="15.6" hidden="1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6" t="s">
        <v>15</v>
      </c>
    </row>
    <row r="400" spans="1:11" ht="15.6" hidden="1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6" t="s">
        <v>20</v>
      </c>
    </row>
    <row r="401" spans="1:11" ht="16.2" hidden="1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10" t="s">
        <v>20</v>
      </c>
    </row>
  </sheetData>
  <autoFilter ref="A1:K401" xr:uid="{F428EC50-F2C3-4B90-A5C9-04D575995255}">
    <filterColumn colId="2">
      <filters>
        <filter val="Pune"/>
      </filters>
    </filterColumn>
    <filterColumn colId="3">
      <filters>
        <filter val="Electronics"/>
      </filters>
    </filterColumn>
    <filterColumn colId="7">
      <filters>
        <filter val="10"/>
        <filter val="12"/>
        <filter val="15"/>
      </filters>
    </filterColumn>
  </autoFilter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6BD4-99B6-4FE0-871C-B78682DEF64D}">
  <dimension ref="A1:W401"/>
  <sheetViews>
    <sheetView topLeftCell="F4" zoomScale="70" zoomScaleNormal="70" workbookViewId="0">
      <selection activeCell="S23" sqref="S23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4" max="14" width="19.88671875" bestFit="1" customWidth="1"/>
    <col min="16" max="16" width="11.77734375" bestFit="1" customWidth="1"/>
    <col min="18" max="18" width="10" bestFit="1" customWidth="1"/>
    <col min="20" max="20" width="10.44140625" bestFit="1" customWidth="1"/>
    <col min="22" max="22" width="18.5546875" bestFit="1" customWidth="1"/>
  </cols>
  <sheetData>
    <row r="1" spans="1:23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23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6" t="s">
        <v>15</v>
      </c>
    </row>
    <row r="3" spans="1:23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6" t="s">
        <v>20</v>
      </c>
    </row>
    <row r="4" spans="1:23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6" t="s">
        <v>24</v>
      </c>
    </row>
    <row r="5" spans="1:23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6" t="s">
        <v>20</v>
      </c>
    </row>
    <row r="6" spans="1:23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6" t="s">
        <v>24</v>
      </c>
    </row>
    <row r="7" spans="1:23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6" t="s">
        <v>29</v>
      </c>
    </row>
    <row r="8" spans="1:23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6" t="s">
        <v>24</v>
      </c>
    </row>
    <row r="9" spans="1:23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6" t="s">
        <v>24</v>
      </c>
      <c r="N9" s="15"/>
      <c r="O9" s="15"/>
      <c r="P9" s="15"/>
      <c r="Q9" s="15"/>
      <c r="R9" s="15"/>
      <c r="S9" s="15"/>
      <c r="T9" s="15"/>
      <c r="U9" s="15"/>
      <c r="V9" s="14"/>
      <c r="W9" s="14"/>
    </row>
    <row r="10" spans="1:23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6" t="s">
        <v>24</v>
      </c>
      <c r="N10" s="16" t="s">
        <v>62</v>
      </c>
      <c r="O10" s="17"/>
      <c r="P10" s="16" t="s">
        <v>63</v>
      </c>
      <c r="Q10" s="17"/>
      <c r="R10" s="18" t="s">
        <v>64</v>
      </c>
      <c r="S10" s="17"/>
      <c r="T10" s="18" t="s">
        <v>65</v>
      </c>
      <c r="U10" s="15"/>
      <c r="V10" s="19" t="s">
        <v>67</v>
      </c>
      <c r="W10" s="14"/>
    </row>
    <row r="11" spans="1:23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6" t="s">
        <v>15</v>
      </c>
      <c r="N11" s="15">
        <f>SUM(F2:F401)</f>
        <v>4446</v>
      </c>
      <c r="O11" s="15"/>
      <c r="P11" s="15">
        <f>AVERAGE(G2:G401)</f>
        <v>16067.842500000001</v>
      </c>
      <c r="Q11" s="15"/>
      <c r="R11" s="15">
        <f>MIN(G2:G401)</f>
        <v>30</v>
      </c>
      <c r="S11" s="15"/>
      <c r="T11" s="15">
        <f>MAX(G2:G401)</f>
        <v>69793</v>
      </c>
      <c r="U11" s="15"/>
      <c r="V11" s="15">
        <f>COUNT(A2:A401)</f>
        <v>400</v>
      </c>
      <c r="W11" s="14"/>
    </row>
    <row r="12" spans="1:23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6" t="s">
        <v>15</v>
      </c>
      <c r="N12" s="15"/>
      <c r="O12" s="15"/>
      <c r="P12" s="15"/>
      <c r="Q12" s="15"/>
      <c r="R12" s="15"/>
      <c r="S12" s="15"/>
      <c r="T12" s="15"/>
      <c r="U12" s="15"/>
      <c r="V12" s="14"/>
      <c r="W12" s="14"/>
    </row>
    <row r="13" spans="1:23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6" t="s">
        <v>29</v>
      </c>
    </row>
    <row r="14" spans="1:23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6" t="s">
        <v>29</v>
      </c>
    </row>
    <row r="15" spans="1:23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6" t="s">
        <v>29</v>
      </c>
    </row>
    <row r="16" spans="1:23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6" t="s">
        <v>20</v>
      </c>
    </row>
    <row r="17" spans="1:11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6" t="s">
        <v>24</v>
      </c>
    </row>
    <row r="18" spans="1:11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6" t="s">
        <v>15</v>
      </c>
    </row>
    <row r="19" spans="1:11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6" t="s">
        <v>29</v>
      </c>
    </row>
    <row r="20" spans="1:11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6" t="s">
        <v>20</v>
      </c>
    </row>
    <row r="21" spans="1:11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6" t="s">
        <v>15</v>
      </c>
    </row>
    <row r="22" spans="1:11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6" t="s">
        <v>24</v>
      </c>
    </row>
    <row r="23" spans="1:11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6" t="s">
        <v>29</v>
      </c>
    </row>
    <row r="24" spans="1:11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6" t="s">
        <v>29</v>
      </c>
    </row>
    <row r="25" spans="1:11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6" t="s">
        <v>15</v>
      </c>
    </row>
    <row r="26" spans="1:11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6" t="s">
        <v>15</v>
      </c>
    </row>
    <row r="27" spans="1:11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6" t="s">
        <v>29</v>
      </c>
    </row>
    <row r="28" spans="1:11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6" t="s">
        <v>51</v>
      </c>
    </row>
    <row r="29" spans="1:11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6" t="s">
        <v>24</v>
      </c>
    </row>
    <row r="30" spans="1:11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6" t="s">
        <v>24</v>
      </c>
    </row>
    <row r="31" spans="1:11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6" t="s">
        <v>15</v>
      </c>
    </row>
    <row r="32" spans="1:11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6" t="s">
        <v>20</v>
      </c>
    </row>
    <row r="33" spans="1:11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6" t="s">
        <v>29</v>
      </c>
    </row>
    <row r="34" spans="1:11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6" t="s">
        <v>29</v>
      </c>
    </row>
    <row r="35" spans="1:11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6" t="s">
        <v>51</v>
      </c>
    </row>
    <row r="36" spans="1:11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6" t="s">
        <v>24</v>
      </c>
    </row>
    <row r="37" spans="1:11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6" t="s">
        <v>24</v>
      </c>
    </row>
    <row r="38" spans="1:11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6" t="s">
        <v>24</v>
      </c>
    </row>
    <row r="39" spans="1:11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6" t="s">
        <v>51</v>
      </c>
    </row>
    <row r="40" spans="1:11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6" t="s">
        <v>20</v>
      </c>
    </row>
    <row r="41" spans="1:11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6" t="s">
        <v>24</v>
      </c>
    </row>
    <row r="42" spans="1:11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6" t="s">
        <v>15</v>
      </c>
    </row>
    <row r="43" spans="1:11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6" t="s">
        <v>29</v>
      </c>
    </row>
    <row r="44" spans="1:11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6" t="s">
        <v>29</v>
      </c>
    </row>
    <row r="45" spans="1:11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6" t="s">
        <v>20</v>
      </c>
    </row>
    <row r="46" spans="1:11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6" t="s">
        <v>29</v>
      </c>
    </row>
    <row r="47" spans="1:11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6" t="s">
        <v>29</v>
      </c>
    </row>
    <row r="48" spans="1:11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6" t="s">
        <v>15</v>
      </c>
    </row>
    <row r="49" spans="1:11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6" t="s">
        <v>24</v>
      </c>
    </row>
    <row r="50" spans="1:11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6" t="s">
        <v>24</v>
      </c>
    </row>
    <row r="51" spans="1:11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6" t="s">
        <v>29</v>
      </c>
    </row>
    <row r="52" spans="1:11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6" t="s">
        <v>15</v>
      </c>
    </row>
    <row r="53" spans="1:11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6" t="s">
        <v>20</v>
      </c>
    </row>
    <row r="54" spans="1:11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6" t="s">
        <v>24</v>
      </c>
    </row>
    <row r="55" spans="1:11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6" t="s">
        <v>51</v>
      </c>
    </row>
    <row r="56" spans="1:11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6" t="s">
        <v>15</v>
      </c>
    </row>
    <row r="57" spans="1:11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6" t="s">
        <v>24</v>
      </c>
    </row>
    <row r="58" spans="1:11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6" t="s">
        <v>51</v>
      </c>
    </row>
    <row r="59" spans="1:11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6" t="s">
        <v>24</v>
      </c>
    </row>
    <row r="60" spans="1:11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6" t="s">
        <v>51</v>
      </c>
    </row>
    <row r="61" spans="1:11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6" t="s">
        <v>20</v>
      </c>
    </row>
    <row r="62" spans="1:11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6" t="s">
        <v>20</v>
      </c>
    </row>
    <row r="63" spans="1:11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6" t="s">
        <v>51</v>
      </c>
    </row>
    <row r="64" spans="1:11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6" t="s">
        <v>15</v>
      </c>
    </row>
    <row r="65" spans="1:11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6" t="s">
        <v>29</v>
      </c>
    </row>
    <row r="66" spans="1:11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6" t="s">
        <v>51</v>
      </c>
    </row>
    <row r="67" spans="1:11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6" t="s">
        <v>15</v>
      </c>
    </row>
    <row r="68" spans="1:11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6" t="s">
        <v>29</v>
      </c>
    </row>
    <row r="69" spans="1:11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6" t="s">
        <v>29</v>
      </c>
    </row>
    <row r="70" spans="1:11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6" t="s">
        <v>15</v>
      </c>
    </row>
    <row r="71" spans="1:11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6" t="s">
        <v>29</v>
      </c>
    </row>
    <row r="72" spans="1:11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6" t="s">
        <v>20</v>
      </c>
    </row>
    <row r="73" spans="1:11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6" t="s">
        <v>24</v>
      </c>
    </row>
    <row r="74" spans="1:11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6" t="s">
        <v>51</v>
      </c>
    </row>
    <row r="75" spans="1:11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6" t="s">
        <v>29</v>
      </c>
    </row>
    <row r="76" spans="1:11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6" t="s">
        <v>51</v>
      </c>
    </row>
    <row r="77" spans="1:11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6" t="s">
        <v>29</v>
      </c>
    </row>
    <row r="78" spans="1:11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6" t="s">
        <v>51</v>
      </c>
    </row>
    <row r="79" spans="1:11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6" t="s">
        <v>29</v>
      </c>
    </row>
    <row r="80" spans="1:11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6" t="s">
        <v>51</v>
      </c>
    </row>
    <row r="81" spans="1:11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6" t="s">
        <v>24</v>
      </c>
    </row>
    <row r="82" spans="1:11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6" t="s">
        <v>51</v>
      </c>
    </row>
    <row r="83" spans="1:11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6" t="s">
        <v>51</v>
      </c>
    </row>
    <row r="84" spans="1:11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6" t="s">
        <v>15</v>
      </c>
    </row>
    <row r="85" spans="1:11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6" t="s">
        <v>20</v>
      </c>
    </row>
    <row r="86" spans="1:11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6" t="s">
        <v>24</v>
      </c>
    </row>
    <row r="87" spans="1:11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6" t="s">
        <v>24</v>
      </c>
    </row>
    <row r="88" spans="1:11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6" t="s">
        <v>24</v>
      </c>
    </row>
    <row r="89" spans="1:11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6" t="s">
        <v>20</v>
      </c>
    </row>
    <row r="90" spans="1:11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6" t="s">
        <v>24</v>
      </c>
    </row>
    <row r="91" spans="1:11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6" t="s">
        <v>24</v>
      </c>
    </row>
    <row r="92" spans="1:11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6" t="s">
        <v>15</v>
      </c>
    </row>
    <row r="93" spans="1:11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6" t="s">
        <v>29</v>
      </c>
    </row>
    <row r="94" spans="1:11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6" t="s">
        <v>51</v>
      </c>
    </row>
    <row r="95" spans="1:11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6" t="s">
        <v>29</v>
      </c>
    </row>
    <row r="96" spans="1:11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6" t="s">
        <v>20</v>
      </c>
    </row>
    <row r="97" spans="1:11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6" t="s">
        <v>20</v>
      </c>
    </row>
    <row r="98" spans="1:11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6" t="s">
        <v>24</v>
      </c>
    </row>
    <row r="99" spans="1:11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6" t="s">
        <v>51</v>
      </c>
    </row>
    <row r="100" spans="1:11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6" t="s">
        <v>15</v>
      </c>
    </row>
    <row r="101" spans="1:11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6" t="s">
        <v>51</v>
      </c>
    </row>
    <row r="102" spans="1:11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6" t="s">
        <v>24</v>
      </c>
    </row>
    <row r="103" spans="1:11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6" t="s">
        <v>51</v>
      </c>
    </row>
    <row r="104" spans="1:11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6" t="s">
        <v>29</v>
      </c>
    </row>
    <row r="105" spans="1:11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6" t="s">
        <v>29</v>
      </c>
    </row>
    <row r="106" spans="1:11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6" t="s">
        <v>51</v>
      </c>
    </row>
    <row r="107" spans="1:11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6" t="s">
        <v>29</v>
      </c>
    </row>
    <row r="108" spans="1:11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6" t="s">
        <v>15</v>
      </c>
    </row>
    <row r="109" spans="1:11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6" t="s">
        <v>20</v>
      </c>
    </row>
    <row r="110" spans="1:11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6" t="s">
        <v>20</v>
      </c>
    </row>
    <row r="111" spans="1:11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6" t="s">
        <v>29</v>
      </c>
    </row>
    <row r="112" spans="1:11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6" t="s">
        <v>29</v>
      </c>
    </row>
    <row r="113" spans="1:11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6" t="s">
        <v>15</v>
      </c>
    </row>
    <row r="114" spans="1:11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6" t="s">
        <v>24</v>
      </c>
    </row>
    <row r="115" spans="1:11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6" t="s">
        <v>15</v>
      </c>
    </row>
    <row r="116" spans="1:11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6" t="s">
        <v>29</v>
      </c>
    </row>
    <row r="117" spans="1:11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6" t="s">
        <v>15</v>
      </c>
    </row>
    <row r="118" spans="1:11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6" t="s">
        <v>29</v>
      </c>
    </row>
    <row r="119" spans="1:11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6" t="s">
        <v>29</v>
      </c>
    </row>
    <row r="120" spans="1:11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6" t="s">
        <v>51</v>
      </c>
    </row>
    <row r="121" spans="1:11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6" t="s">
        <v>51</v>
      </c>
    </row>
    <row r="122" spans="1:11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6" t="s">
        <v>29</v>
      </c>
    </row>
    <row r="123" spans="1:11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6" t="s">
        <v>29</v>
      </c>
    </row>
    <row r="124" spans="1:11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6" t="s">
        <v>29</v>
      </c>
    </row>
    <row r="125" spans="1:11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6" t="s">
        <v>51</v>
      </c>
    </row>
    <row r="126" spans="1:11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6" t="s">
        <v>24</v>
      </c>
    </row>
    <row r="127" spans="1:11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6" t="s">
        <v>29</v>
      </c>
    </row>
    <row r="128" spans="1:11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6" t="s">
        <v>29</v>
      </c>
    </row>
    <row r="129" spans="1:11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6" t="s">
        <v>29</v>
      </c>
    </row>
    <row r="130" spans="1:11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6" t="s">
        <v>29</v>
      </c>
    </row>
    <row r="131" spans="1:11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6" t="s">
        <v>24</v>
      </c>
    </row>
    <row r="132" spans="1:11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6" t="s">
        <v>51</v>
      </c>
    </row>
    <row r="133" spans="1:11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6" t="s">
        <v>24</v>
      </c>
    </row>
    <row r="134" spans="1:11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6" t="s">
        <v>51</v>
      </c>
    </row>
    <row r="135" spans="1:11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6" t="s">
        <v>24</v>
      </c>
    </row>
    <row r="136" spans="1:11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6" t="s">
        <v>15</v>
      </c>
    </row>
    <row r="137" spans="1:11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6" t="s">
        <v>24</v>
      </c>
    </row>
    <row r="138" spans="1:11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6" t="s">
        <v>29</v>
      </c>
    </row>
    <row r="139" spans="1:11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6" t="s">
        <v>51</v>
      </c>
    </row>
    <row r="140" spans="1:11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6" t="s">
        <v>15</v>
      </c>
    </row>
    <row r="141" spans="1:11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6" t="s">
        <v>15</v>
      </c>
    </row>
    <row r="142" spans="1:11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6" t="s">
        <v>15</v>
      </c>
    </row>
    <row r="143" spans="1:11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6" t="s">
        <v>29</v>
      </c>
    </row>
    <row r="144" spans="1:11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6" t="s">
        <v>24</v>
      </c>
    </row>
    <row r="145" spans="1:11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6" t="s">
        <v>20</v>
      </c>
    </row>
    <row r="146" spans="1:11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6" t="s">
        <v>24</v>
      </c>
    </row>
    <row r="147" spans="1:11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6" t="s">
        <v>29</v>
      </c>
    </row>
    <row r="148" spans="1:11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6" t="s">
        <v>20</v>
      </c>
    </row>
    <row r="149" spans="1:11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6" t="s">
        <v>24</v>
      </c>
    </row>
    <row r="150" spans="1:11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6" t="s">
        <v>29</v>
      </c>
    </row>
    <row r="151" spans="1:11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6" t="s">
        <v>24</v>
      </c>
    </row>
    <row r="152" spans="1:11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6" t="s">
        <v>51</v>
      </c>
    </row>
    <row r="153" spans="1:11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6" t="s">
        <v>15</v>
      </c>
    </row>
    <row r="154" spans="1:11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6" t="s">
        <v>29</v>
      </c>
    </row>
    <row r="155" spans="1:11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6" t="s">
        <v>51</v>
      </c>
    </row>
    <row r="156" spans="1:11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6" t="s">
        <v>24</v>
      </c>
    </row>
    <row r="157" spans="1:11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6" t="s">
        <v>15</v>
      </c>
    </row>
    <row r="158" spans="1:11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6" t="s">
        <v>29</v>
      </c>
    </row>
    <row r="159" spans="1:11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6" t="s">
        <v>51</v>
      </c>
    </row>
    <row r="160" spans="1:11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6" t="s">
        <v>15</v>
      </c>
    </row>
    <row r="161" spans="1:11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6" t="s">
        <v>51</v>
      </c>
    </row>
    <row r="162" spans="1:11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6" t="s">
        <v>20</v>
      </c>
    </row>
    <row r="163" spans="1:11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6" t="s">
        <v>20</v>
      </c>
    </row>
    <row r="164" spans="1:11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6" t="s">
        <v>29</v>
      </c>
    </row>
    <row r="165" spans="1:11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6" t="s">
        <v>51</v>
      </c>
    </row>
    <row r="166" spans="1:11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6" t="s">
        <v>51</v>
      </c>
    </row>
    <row r="167" spans="1:11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6" t="s">
        <v>20</v>
      </c>
    </row>
    <row r="168" spans="1:11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6" t="s">
        <v>29</v>
      </c>
    </row>
    <row r="169" spans="1:11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6" t="s">
        <v>29</v>
      </c>
    </row>
    <row r="170" spans="1:11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6" t="s">
        <v>24</v>
      </c>
    </row>
    <row r="171" spans="1:11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6" t="s">
        <v>24</v>
      </c>
    </row>
    <row r="172" spans="1:11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6" t="s">
        <v>20</v>
      </c>
    </row>
    <row r="173" spans="1:11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6" t="s">
        <v>24</v>
      </c>
    </row>
    <row r="174" spans="1:11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6" t="s">
        <v>51</v>
      </c>
    </row>
    <row r="175" spans="1:11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6" t="s">
        <v>24</v>
      </c>
    </row>
    <row r="176" spans="1:11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6" t="s">
        <v>20</v>
      </c>
    </row>
    <row r="177" spans="1:11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6" t="s">
        <v>29</v>
      </c>
    </row>
    <row r="178" spans="1:11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6" t="s">
        <v>20</v>
      </c>
    </row>
    <row r="179" spans="1:11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6" t="s">
        <v>20</v>
      </c>
    </row>
    <row r="180" spans="1:11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6" t="s">
        <v>15</v>
      </c>
    </row>
    <row r="181" spans="1:11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6" t="s">
        <v>29</v>
      </c>
    </row>
    <row r="182" spans="1:11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6" t="s">
        <v>15</v>
      </c>
    </row>
    <row r="183" spans="1:11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6" t="s">
        <v>24</v>
      </c>
    </row>
    <row r="184" spans="1:11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6" t="s">
        <v>20</v>
      </c>
    </row>
    <row r="185" spans="1:11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6" t="s">
        <v>29</v>
      </c>
    </row>
    <row r="186" spans="1:11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6" t="s">
        <v>15</v>
      </c>
    </row>
    <row r="187" spans="1:11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6" t="s">
        <v>24</v>
      </c>
    </row>
    <row r="188" spans="1:11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6" t="s">
        <v>51</v>
      </c>
    </row>
    <row r="189" spans="1:11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6" t="s">
        <v>15</v>
      </c>
    </row>
    <row r="190" spans="1:11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6" t="s">
        <v>29</v>
      </c>
    </row>
    <row r="191" spans="1:11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6" t="s">
        <v>20</v>
      </c>
    </row>
    <row r="192" spans="1:11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6" t="s">
        <v>20</v>
      </c>
    </row>
    <row r="193" spans="1:11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6" t="s">
        <v>24</v>
      </c>
    </row>
    <row r="194" spans="1:11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6" t="s">
        <v>29</v>
      </c>
    </row>
    <row r="195" spans="1:11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6" t="s">
        <v>51</v>
      </c>
    </row>
    <row r="196" spans="1:11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6" t="s">
        <v>51</v>
      </c>
    </row>
    <row r="197" spans="1:11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6" t="s">
        <v>20</v>
      </c>
    </row>
    <row r="198" spans="1:11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6" t="s">
        <v>15</v>
      </c>
    </row>
    <row r="199" spans="1:11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6" t="s">
        <v>51</v>
      </c>
    </row>
    <row r="200" spans="1:11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6" t="s">
        <v>24</v>
      </c>
    </row>
    <row r="201" spans="1:11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6" t="s">
        <v>29</v>
      </c>
    </row>
    <row r="202" spans="1:11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6" t="s">
        <v>20</v>
      </c>
    </row>
    <row r="203" spans="1:11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6" t="s">
        <v>15</v>
      </c>
    </row>
    <row r="204" spans="1:11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6" t="s">
        <v>51</v>
      </c>
    </row>
    <row r="205" spans="1:11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6" t="s">
        <v>20</v>
      </c>
    </row>
    <row r="206" spans="1:11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6" t="s">
        <v>51</v>
      </c>
    </row>
    <row r="207" spans="1:11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6" t="s">
        <v>15</v>
      </c>
    </row>
    <row r="208" spans="1:11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6" t="s">
        <v>24</v>
      </c>
    </row>
    <row r="209" spans="1:11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6" t="s">
        <v>20</v>
      </c>
    </row>
    <row r="210" spans="1:11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6" t="s">
        <v>20</v>
      </c>
    </row>
    <row r="211" spans="1:11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6" t="s">
        <v>29</v>
      </c>
    </row>
    <row r="212" spans="1:11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6" t="s">
        <v>15</v>
      </c>
    </row>
    <row r="213" spans="1:11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6" t="s">
        <v>29</v>
      </c>
    </row>
    <row r="214" spans="1:11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6" t="s">
        <v>15</v>
      </c>
    </row>
    <row r="215" spans="1:11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6" t="s">
        <v>51</v>
      </c>
    </row>
    <row r="216" spans="1:11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6" t="s">
        <v>29</v>
      </c>
    </row>
    <row r="217" spans="1:11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6" t="s">
        <v>29</v>
      </c>
    </row>
    <row r="218" spans="1:11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6" t="s">
        <v>29</v>
      </c>
    </row>
    <row r="219" spans="1:11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6" t="s">
        <v>51</v>
      </c>
    </row>
    <row r="220" spans="1:11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6" t="s">
        <v>29</v>
      </c>
    </row>
    <row r="221" spans="1:11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6" t="s">
        <v>24</v>
      </c>
    </row>
    <row r="222" spans="1:11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6" t="s">
        <v>51</v>
      </c>
    </row>
    <row r="223" spans="1:11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6" t="s">
        <v>15</v>
      </c>
    </row>
    <row r="224" spans="1:11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6" t="s">
        <v>15</v>
      </c>
    </row>
    <row r="225" spans="1:11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6" t="s">
        <v>24</v>
      </c>
    </row>
    <row r="226" spans="1:11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6" t="s">
        <v>20</v>
      </c>
    </row>
    <row r="227" spans="1:11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6" t="s">
        <v>29</v>
      </c>
    </row>
    <row r="228" spans="1:11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6" t="s">
        <v>15</v>
      </c>
    </row>
    <row r="229" spans="1:11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6" t="s">
        <v>24</v>
      </c>
    </row>
    <row r="230" spans="1:11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6" t="s">
        <v>20</v>
      </c>
    </row>
    <row r="231" spans="1:11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6" t="s">
        <v>24</v>
      </c>
    </row>
    <row r="232" spans="1:11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6" t="s">
        <v>20</v>
      </c>
    </row>
    <row r="233" spans="1:11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6" t="s">
        <v>15</v>
      </c>
    </row>
    <row r="234" spans="1:11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6" t="s">
        <v>24</v>
      </c>
    </row>
    <row r="235" spans="1:11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6" t="s">
        <v>51</v>
      </c>
    </row>
    <row r="236" spans="1:11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6" t="s">
        <v>29</v>
      </c>
    </row>
    <row r="237" spans="1:11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6" t="s">
        <v>29</v>
      </c>
    </row>
    <row r="238" spans="1:11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6" t="s">
        <v>15</v>
      </c>
    </row>
    <row r="239" spans="1:11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6" t="s">
        <v>51</v>
      </c>
    </row>
    <row r="240" spans="1:11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6" t="s">
        <v>15</v>
      </c>
    </row>
    <row r="241" spans="1:11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6" t="s">
        <v>29</v>
      </c>
    </row>
    <row r="242" spans="1:11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6" t="s">
        <v>15</v>
      </c>
    </row>
    <row r="243" spans="1:11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6" t="s">
        <v>51</v>
      </c>
    </row>
    <row r="244" spans="1:11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6" t="s">
        <v>24</v>
      </c>
    </row>
    <row r="245" spans="1:11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6" t="s">
        <v>15</v>
      </c>
    </row>
    <row r="246" spans="1:11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6" t="s">
        <v>29</v>
      </c>
    </row>
    <row r="247" spans="1:11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6" t="s">
        <v>51</v>
      </c>
    </row>
    <row r="248" spans="1:11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6" t="s">
        <v>20</v>
      </c>
    </row>
    <row r="249" spans="1:11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6" t="s">
        <v>29</v>
      </c>
    </row>
    <row r="250" spans="1:11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6" t="s">
        <v>20</v>
      </c>
    </row>
    <row r="251" spans="1:11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6" t="s">
        <v>29</v>
      </c>
    </row>
    <row r="252" spans="1:11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6" t="s">
        <v>51</v>
      </c>
    </row>
    <row r="253" spans="1:11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6" t="s">
        <v>20</v>
      </c>
    </row>
    <row r="254" spans="1:11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6" t="s">
        <v>29</v>
      </c>
    </row>
    <row r="255" spans="1:11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6" t="s">
        <v>24</v>
      </c>
    </row>
    <row r="256" spans="1:11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</row>
    <row r="257" spans="1:11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6" t="s">
        <v>15</v>
      </c>
    </row>
    <row r="258" spans="1:11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6" t="s">
        <v>15</v>
      </c>
    </row>
    <row r="259" spans="1:11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6" t="s">
        <v>29</v>
      </c>
    </row>
    <row r="260" spans="1:11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6" t="s">
        <v>15</v>
      </c>
    </row>
    <row r="261" spans="1:11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6" t="s">
        <v>29</v>
      </c>
    </row>
    <row r="262" spans="1:11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6" t="s">
        <v>51</v>
      </c>
    </row>
    <row r="263" spans="1:11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6" t="s">
        <v>15</v>
      </c>
    </row>
    <row r="264" spans="1:11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6" t="s">
        <v>51</v>
      </c>
    </row>
    <row r="265" spans="1:11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6" t="s">
        <v>20</v>
      </c>
    </row>
    <row r="266" spans="1:11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6" t="s">
        <v>51</v>
      </c>
    </row>
    <row r="267" spans="1:11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6" t="s">
        <v>51</v>
      </c>
    </row>
    <row r="268" spans="1:11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6" t="s">
        <v>20</v>
      </c>
    </row>
    <row r="269" spans="1:11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6" t="s">
        <v>20</v>
      </c>
    </row>
    <row r="270" spans="1:11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6" t="s">
        <v>15</v>
      </c>
    </row>
    <row r="271" spans="1:11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6" t="s">
        <v>51</v>
      </c>
    </row>
    <row r="272" spans="1:11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6" t="s">
        <v>29</v>
      </c>
    </row>
    <row r="273" spans="1:11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6" t="s">
        <v>20</v>
      </c>
    </row>
    <row r="274" spans="1:11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6" t="s">
        <v>20</v>
      </c>
    </row>
    <row r="275" spans="1:11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6" t="s">
        <v>20</v>
      </c>
    </row>
    <row r="276" spans="1:11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6" t="s">
        <v>20</v>
      </c>
    </row>
    <row r="277" spans="1:11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6" t="s">
        <v>24</v>
      </c>
    </row>
    <row r="278" spans="1:11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6" t="s">
        <v>15</v>
      </c>
    </row>
    <row r="279" spans="1:11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6" t="s">
        <v>20</v>
      </c>
    </row>
    <row r="280" spans="1:11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6" t="s">
        <v>15</v>
      </c>
    </row>
    <row r="281" spans="1:11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6" t="s">
        <v>51</v>
      </c>
    </row>
    <row r="282" spans="1:11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6" t="s">
        <v>24</v>
      </c>
    </row>
    <row r="283" spans="1:11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6" t="s">
        <v>29</v>
      </c>
    </row>
    <row r="284" spans="1:11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6" t="s">
        <v>15</v>
      </c>
    </row>
    <row r="285" spans="1:11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6" t="s">
        <v>15</v>
      </c>
    </row>
    <row r="286" spans="1:11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6" t="s">
        <v>20</v>
      </c>
    </row>
    <row r="287" spans="1:11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6" t="s">
        <v>15</v>
      </c>
    </row>
    <row r="288" spans="1:11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6" t="s">
        <v>51</v>
      </c>
    </row>
    <row r="289" spans="1:11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6" t="s">
        <v>29</v>
      </c>
    </row>
    <row r="290" spans="1:11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6" t="s">
        <v>24</v>
      </c>
    </row>
    <row r="291" spans="1:11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6" t="s">
        <v>29</v>
      </c>
    </row>
    <row r="292" spans="1:11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6" t="s">
        <v>20</v>
      </c>
    </row>
    <row r="293" spans="1:11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6" t="s">
        <v>20</v>
      </c>
    </row>
    <row r="294" spans="1:11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6" t="s">
        <v>20</v>
      </c>
    </row>
    <row r="295" spans="1:11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6" t="s">
        <v>15</v>
      </c>
    </row>
    <row r="296" spans="1:11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6" t="s">
        <v>15</v>
      </c>
    </row>
    <row r="297" spans="1:11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6" t="s">
        <v>51</v>
      </c>
    </row>
    <row r="298" spans="1:11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6" t="s">
        <v>29</v>
      </c>
    </row>
    <row r="299" spans="1:11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6" t="s">
        <v>24</v>
      </c>
    </row>
    <row r="300" spans="1:11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6" t="s">
        <v>15</v>
      </c>
    </row>
    <row r="301" spans="1:11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6" t="s">
        <v>24</v>
      </c>
    </row>
    <row r="302" spans="1:11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6" t="s">
        <v>24</v>
      </c>
    </row>
    <row r="303" spans="1:11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6" t="s">
        <v>24</v>
      </c>
    </row>
    <row r="304" spans="1:11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6" t="s">
        <v>15</v>
      </c>
    </row>
    <row r="305" spans="1:11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6" t="s">
        <v>51</v>
      </c>
    </row>
    <row r="306" spans="1:11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6" t="s">
        <v>51</v>
      </c>
    </row>
    <row r="307" spans="1:11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6" t="s">
        <v>20</v>
      </c>
    </row>
    <row r="308" spans="1:11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6" t="s">
        <v>51</v>
      </c>
    </row>
    <row r="309" spans="1:11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6" t="s">
        <v>20</v>
      </c>
    </row>
    <row r="310" spans="1:11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6" t="s">
        <v>24</v>
      </c>
    </row>
    <row r="311" spans="1:11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6" t="s">
        <v>29</v>
      </c>
    </row>
    <row r="312" spans="1:11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6" t="s">
        <v>20</v>
      </c>
    </row>
    <row r="313" spans="1:11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6" t="s">
        <v>24</v>
      </c>
    </row>
    <row r="314" spans="1:11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6" t="s">
        <v>15</v>
      </c>
    </row>
    <row r="315" spans="1:11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6" t="s">
        <v>29</v>
      </c>
    </row>
    <row r="316" spans="1:11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6" t="s">
        <v>15</v>
      </c>
    </row>
    <row r="317" spans="1:11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6" t="s">
        <v>20</v>
      </c>
    </row>
    <row r="318" spans="1:11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6" t="s">
        <v>51</v>
      </c>
    </row>
    <row r="319" spans="1:11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6" t="s">
        <v>29</v>
      </c>
    </row>
    <row r="320" spans="1:11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6" t="s">
        <v>15</v>
      </c>
    </row>
    <row r="321" spans="1:11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6" t="s">
        <v>20</v>
      </c>
    </row>
    <row r="322" spans="1:11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6" t="s">
        <v>51</v>
      </c>
    </row>
    <row r="323" spans="1:11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6" t="s">
        <v>15</v>
      </c>
    </row>
    <row r="324" spans="1:11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6" t="s">
        <v>15</v>
      </c>
    </row>
    <row r="325" spans="1:11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6" t="s">
        <v>20</v>
      </c>
    </row>
    <row r="326" spans="1:11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6" t="s">
        <v>20</v>
      </c>
    </row>
    <row r="327" spans="1:11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6" t="s">
        <v>15</v>
      </c>
    </row>
    <row r="328" spans="1:11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6" t="s">
        <v>15</v>
      </c>
    </row>
    <row r="329" spans="1:11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6" t="s">
        <v>29</v>
      </c>
    </row>
    <row r="330" spans="1:11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6" t="s">
        <v>29</v>
      </c>
    </row>
    <row r="331" spans="1:11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6" t="s">
        <v>51</v>
      </c>
    </row>
    <row r="332" spans="1:11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6" t="s">
        <v>15</v>
      </c>
    </row>
    <row r="333" spans="1:11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6" t="s">
        <v>15</v>
      </c>
    </row>
    <row r="334" spans="1:11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6" t="s">
        <v>51</v>
      </c>
    </row>
    <row r="335" spans="1:11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6" t="s">
        <v>51</v>
      </c>
    </row>
    <row r="336" spans="1:11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6" t="s">
        <v>15</v>
      </c>
    </row>
    <row r="337" spans="1:11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6" t="s">
        <v>29</v>
      </c>
    </row>
    <row r="338" spans="1:11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6" t="s">
        <v>29</v>
      </c>
    </row>
    <row r="339" spans="1:11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6" t="s">
        <v>15</v>
      </c>
    </row>
    <row r="340" spans="1:11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6" t="s">
        <v>20</v>
      </c>
    </row>
    <row r="341" spans="1:11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6" t="s">
        <v>51</v>
      </c>
    </row>
    <row r="342" spans="1:11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6" t="s">
        <v>20</v>
      </c>
    </row>
    <row r="343" spans="1:11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6" t="s">
        <v>29</v>
      </c>
    </row>
    <row r="344" spans="1:11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6" t="s">
        <v>15</v>
      </c>
    </row>
    <row r="345" spans="1:11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</row>
    <row r="346" spans="1:11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6" t="s">
        <v>29</v>
      </c>
    </row>
    <row r="347" spans="1:11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6" t="s">
        <v>29</v>
      </c>
    </row>
    <row r="348" spans="1:11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6" t="s">
        <v>24</v>
      </c>
    </row>
    <row r="349" spans="1:11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6" t="s">
        <v>15</v>
      </c>
    </row>
    <row r="350" spans="1:11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6" t="s">
        <v>20</v>
      </c>
    </row>
    <row r="351" spans="1:11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6" t="s">
        <v>29</v>
      </c>
    </row>
    <row r="352" spans="1:11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6" t="s">
        <v>15</v>
      </c>
    </row>
    <row r="353" spans="1:11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6" t="s">
        <v>15</v>
      </c>
    </row>
    <row r="354" spans="1:11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6" t="s">
        <v>24</v>
      </c>
    </row>
    <row r="355" spans="1:11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6" t="s">
        <v>51</v>
      </c>
    </row>
    <row r="356" spans="1:11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6" t="s">
        <v>51</v>
      </c>
    </row>
    <row r="357" spans="1:11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6" t="s">
        <v>15</v>
      </c>
    </row>
    <row r="358" spans="1:11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6" t="s">
        <v>51</v>
      </c>
    </row>
    <row r="359" spans="1:11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6" t="s">
        <v>20</v>
      </c>
    </row>
    <row r="360" spans="1:11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6" t="s">
        <v>15</v>
      </c>
    </row>
    <row r="361" spans="1:11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6" t="s">
        <v>15</v>
      </c>
    </row>
    <row r="362" spans="1:11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6" t="s">
        <v>20</v>
      </c>
    </row>
    <row r="363" spans="1:11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6" t="s">
        <v>29</v>
      </c>
    </row>
    <row r="364" spans="1:11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6" t="s">
        <v>15</v>
      </c>
    </row>
    <row r="365" spans="1:11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6" t="s">
        <v>51</v>
      </c>
    </row>
    <row r="366" spans="1:11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6" t="s">
        <v>20</v>
      </c>
    </row>
    <row r="367" spans="1:11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6" t="s">
        <v>29</v>
      </c>
    </row>
    <row r="368" spans="1:11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6" t="s">
        <v>29</v>
      </c>
    </row>
    <row r="369" spans="1:11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6" t="s">
        <v>24</v>
      </c>
    </row>
    <row r="370" spans="1:11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6" t="s">
        <v>15</v>
      </c>
    </row>
    <row r="371" spans="1:11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6" t="s">
        <v>15</v>
      </c>
    </row>
    <row r="372" spans="1:11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6" t="s">
        <v>20</v>
      </c>
    </row>
    <row r="373" spans="1:11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6" t="s">
        <v>15</v>
      </c>
    </row>
    <row r="374" spans="1:11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6" t="s">
        <v>20</v>
      </c>
    </row>
    <row r="375" spans="1:11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6" t="s">
        <v>51</v>
      </c>
    </row>
    <row r="376" spans="1:11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6" t="s">
        <v>24</v>
      </c>
    </row>
    <row r="377" spans="1:11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6" t="s">
        <v>20</v>
      </c>
    </row>
    <row r="378" spans="1:11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6" t="s">
        <v>24</v>
      </c>
    </row>
    <row r="379" spans="1:11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6" t="s">
        <v>51</v>
      </c>
    </row>
    <row r="380" spans="1:11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6" t="s">
        <v>20</v>
      </c>
    </row>
    <row r="381" spans="1:11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6" t="s">
        <v>24</v>
      </c>
    </row>
    <row r="382" spans="1:11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6" t="s">
        <v>20</v>
      </c>
    </row>
    <row r="383" spans="1:11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6" t="s">
        <v>15</v>
      </c>
    </row>
    <row r="384" spans="1:11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6" t="s">
        <v>15</v>
      </c>
    </row>
    <row r="385" spans="1:11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6" t="s">
        <v>29</v>
      </c>
    </row>
    <row r="386" spans="1:11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6" t="s">
        <v>51</v>
      </c>
    </row>
    <row r="387" spans="1:11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6" t="s">
        <v>51</v>
      </c>
    </row>
    <row r="388" spans="1:11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6" t="s">
        <v>24</v>
      </c>
    </row>
    <row r="389" spans="1:11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6" t="s">
        <v>20</v>
      </c>
    </row>
    <row r="390" spans="1:11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6" t="s">
        <v>51</v>
      </c>
    </row>
    <row r="391" spans="1:11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6" t="s">
        <v>51</v>
      </c>
    </row>
    <row r="392" spans="1:11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6" t="s">
        <v>24</v>
      </c>
    </row>
    <row r="393" spans="1:11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6" t="s">
        <v>29</v>
      </c>
    </row>
    <row r="394" spans="1:11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6" t="s">
        <v>51</v>
      </c>
    </row>
    <row r="395" spans="1:11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6" t="s">
        <v>15</v>
      </c>
    </row>
    <row r="396" spans="1:11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6" t="s">
        <v>29</v>
      </c>
    </row>
    <row r="397" spans="1:11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6" t="s">
        <v>15</v>
      </c>
    </row>
    <row r="398" spans="1:11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6" t="s">
        <v>51</v>
      </c>
    </row>
    <row r="399" spans="1:11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6" t="s">
        <v>15</v>
      </c>
    </row>
    <row r="400" spans="1:11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6" t="s">
        <v>20</v>
      </c>
    </row>
    <row r="401" spans="1:11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1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A7DF-8C62-4E0B-AB89-366892A1511D}">
  <dimension ref="A1:L402"/>
  <sheetViews>
    <sheetView zoomScale="90" zoomScaleNormal="90" workbookViewId="0">
      <selection activeCell="L1" sqref="L1:L402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6.77734375" bestFit="1" customWidth="1"/>
    <col min="14" max="14" width="12.88671875" bestFit="1" customWidth="1"/>
  </cols>
  <sheetData>
    <row r="1" spans="1:12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20" t="s">
        <v>66</v>
      </c>
    </row>
    <row r="2" spans="1:12" ht="18" x14ac:dyDescent="0.35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6" t="s">
        <v>15</v>
      </c>
      <c r="L2" s="22" t="str">
        <f>IF(F2&gt;=15,"Bulk Order",IF(F2&gt;=5,"Medium Order","Regular Order"))</f>
        <v>Regular Order</v>
      </c>
    </row>
    <row r="3" spans="1:12" ht="18" x14ac:dyDescent="0.35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6" t="s">
        <v>20</v>
      </c>
      <c r="L3" s="22" t="str">
        <f>IF(F3&gt;=15,"Bulk Order",IF(F3&gt;=5,"Medium Order","Regular Order"))</f>
        <v>Medium Order</v>
      </c>
    </row>
    <row r="4" spans="1:12" ht="18" x14ac:dyDescent="0.35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6" t="s">
        <v>24</v>
      </c>
      <c r="L4" s="22" t="str">
        <f>IF(F4&gt;=15,"Bulk Order",IF(F4&gt;=5,"Medium Order","Regular Order"))</f>
        <v>Bulk Order</v>
      </c>
    </row>
    <row r="5" spans="1:12" ht="18" x14ac:dyDescent="0.35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6" t="s">
        <v>20</v>
      </c>
      <c r="L5" s="22" t="str">
        <f>IF(F5&gt;=15,"Bulk Order",IF(F5&gt;=5,"Medium Order","Regular Order"))</f>
        <v>Bulk Order</v>
      </c>
    </row>
    <row r="6" spans="1:12" ht="18" x14ac:dyDescent="0.35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6" t="s">
        <v>24</v>
      </c>
      <c r="L6" s="22" t="str">
        <f>IF(F6&gt;=15,"Bulk Order",IF(F6&gt;=5,"Medium Order","Regular Order"))</f>
        <v>Bulk Order</v>
      </c>
    </row>
    <row r="7" spans="1:12" ht="18" x14ac:dyDescent="0.35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6" t="s">
        <v>29</v>
      </c>
      <c r="L7" s="22" t="str">
        <f>IF(F7&gt;=15,"Bulk Order",IF(F7&gt;=5,"Medium Order","Regular Order"))</f>
        <v>Regular Order</v>
      </c>
    </row>
    <row r="8" spans="1:12" ht="18" x14ac:dyDescent="0.35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6" t="s">
        <v>24</v>
      </c>
      <c r="L8" s="22" t="str">
        <f>IF(F8&gt;=15,"Bulk Order",IF(F8&gt;=5,"Medium Order","Regular Order"))</f>
        <v>Bulk Order</v>
      </c>
    </row>
    <row r="9" spans="1:12" ht="18" x14ac:dyDescent="0.35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6" t="s">
        <v>24</v>
      </c>
      <c r="L9" s="22" t="str">
        <f>IF(F9&gt;=15,"Bulk Order",IF(F9&gt;=5,"Medium Order","Regular Order"))</f>
        <v>Regular Order</v>
      </c>
    </row>
    <row r="10" spans="1:12" ht="18" x14ac:dyDescent="0.35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6" t="s">
        <v>24</v>
      </c>
      <c r="L10" s="22" t="str">
        <f>IF(F10&gt;=15,"Bulk Order",IF(F10&gt;=5,"Medium Order","Regular Order"))</f>
        <v>Medium Order</v>
      </c>
    </row>
    <row r="11" spans="1:12" ht="18" x14ac:dyDescent="0.35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6" t="s">
        <v>15</v>
      </c>
      <c r="L11" s="22" t="str">
        <f>IF(F11&gt;=15,"Bulk Order",IF(F11&gt;=5,"Medium Order","Regular Order"))</f>
        <v>Medium Order</v>
      </c>
    </row>
    <row r="12" spans="1:12" ht="18" x14ac:dyDescent="0.35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6" t="s">
        <v>15</v>
      </c>
      <c r="L12" s="22" t="str">
        <f>IF(F12&gt;=15,"Bulk Order",IF(F12&gt;=5,"Medium Order","Regular Order"))</f>
        <v>Medium Order</v>
      </c>
    </row>
    <row r="13" spans="1:12" ht="18" x14ac:dyDescent="0.35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6" t="s">
        <v>29</v>
      </c>
      <c r="L13" s="22" t="str">
        <f>IF(F13&gt;=15,"Bulk Order",IF(F13&gt;=5,"Medium Order","Regular Order"))</f>
        <v>Regular Order</v>
      </c>
    </row>
    <row r="14" spans="1:12" ht="18" x14ac:dyDescent="0.35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6" t="s">
        <v>29</v>
      </c>
      <c r="L14" s="22" t="str">
        <f>IF(F14&gt;=15,"Bulk Order",IF(F14&gt;=5,"Medium Order","Regular Order"))</f>
        <v>Bulk Order</v>
      </c>
    </row>
    <row r="15" spans="1:12" ht="18" x14ac:dyDescent="0.35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6" t="s">
        <v>29</v>
      </c>
      <c r="L15" s="22" t="str">
        <f>IF(F15&gt;=15,"Bulk Order",IF(F15&gt;=5,"Medium Order","Regular Order"))</f>
        <v>Bulk Order</v>
      </c>
    </row>
    <row r="16" spans="1:12" ht="18" x14ac:dyDescent="0.35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6" t="s">
        <v>20</v>
      </c>
      <c r="L16" s="22" t="str">
        <f>IF(F16&gt;=15,"Bulk Order",IF(F16&gt;=5,"Medium Order","Regular Order"))</f>
        <v>Medium Order</v>
      </c>
    </row>
    <row r="17" spans="1:12" ht="18" x14ac:dyDescent="0.35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6" t="s">
        <v>24</v>
      </c>
      <c r="L17" s="22" t="str">
        <f>IF(F17&gt;=15,"Bulk Order",IF(F17&gt;=5,"Medium Order","Regular Order"))</f>
        <v>Bulk Order</v>
      </c>
    </row>
    <row r="18" spans="1:12" ht="18" x14ac:dyDescent="0.35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6" t="s">
        <v>15</v>
      </c>
      <c r="L18" s="22" t="str">
        <f>IF(F18&gt;=15,"Bulk Order",IF(F18&gt;=5,"Medium Order","Regular Order"))</f>
        <v>Medium Order</v>
      </c>
    </row>
    <row r="19" spans="1:12" ht="18" x14ac:dyDescent="0.35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6" t="s">
        <v>29</v>
      </c>
      <c r="L19" s="22" t="str">
        <f>IF(F19&gt;=15,"Bulk Order",IF(F19&gt;=5,"Medium Order","Regular Order"))</f>
        <v>Bulk Order</v>
      </c>
    </row>
    <row r="20" spans="1:12" ht="18" x14ac:dyDescent="0.35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6" t="s">
        <v>20</v>
      </c>
      <c r="L20" s="22" t="str">
        <f>IF(F20&gt;=15,"Bulk Order",IF(F20&gt;=5,"Medium Order","Regular Order"))</f>
        <v>Bulk Order</v>
      </c>
    </row>
    <row r="21" spans="1:12" ht="18" x14ac:dyDescent="0.35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6" t="s">
        <v>15</v>
      </c>
      <c r="L21" s="22" t="str">
        <f>IF(F21&gt;=15,"Bulk Order",IF(F21&gt;=5,"Medium Order","Regular Order"))</f>
        <v>Medium Order</v>
      </c>
    </row>
    <row r="22" spans="1:12" ht="18" x14ac:dyDescent="0.35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6" t="s">
        <v>24</v>
      </c>
      <c r="L22" s="22" t="str">
        <f>IF(F22&gt;=15,"Bulk Order",IF(F22&gt;=5,"Medium Order","Regular Order"))</f>
        <v>Regular Order</v>
      </c>
    </row>
    <row r="23" spans="1:12" ht="18" x14ac:dyDescent="0.35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6" t="s">
        <v>29</v>
      </c>
      <c r="L23" s="22" t="str">
        <f>IF(F23&gt;=15,"Bulk Order",IF(F23&gt;=5,"Medium Order","Regular Order"))</f>
        <v>Bulk Order</v>
      </c>
    </row>
    <row r="24" spans="1:12" ht="18" x14ac:dyDescent="0.35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6" t="s">
        <v>29</v>
      </c>
      <c r="L24" s="22" t="str">
        <f>IF(F24&gt;=15,"Bulk Order",IF(F24&gt;=5,"Medium Order","Regular Order"))</f>
        <v>Bulk Order</v>
      </c>
    </row>
    <row r="25" spans="1:12" ht="18" x14ac:dyDescent="0.35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6" t="s">
        <v>15</v>
      </c>
      <c r="L25" s="22" t="str">
        <f>IF(F25&gt;=15,"Bulk Order",IF(F25&gt;=5,"Medium Order","Regular Order"))</f>
        <v>Medium Order</v>
      </c>
    </row>
    <row r="26" spans="1:12" ht="18" x14ac:dyDescent="0.35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6" t="s">
        <v>15</v>
      </c>
      <c r="L26" s="22" t="str">
        <f>IF(F26&gt;=15,"Bulk Order",IF(F26&gt;=5,"Medium Order","Regular Order"))</f>
        <v>Bulk Order</v>
      </c>
    </row>
    <row r="27" spans="1:12" ht="18" x14ac:dyDescent="0.35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6" t="s">
        <v>29</v>
      </c>
      <c r="L27" s="22" t="str">
        <f>IF(F27&gt;=15,"Bulk Order",IF(F27&gt;=5,"Medium Order","Regular Order"))</f>
        <v>Bulk Order</v>
      </c>
    </row>
    <row r="28" spans="1:12" ht="18" x14ac:dyDescent="0.35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6" t="s">
        <v>51</v>
      </c>
      <c r="L28" s="22" t="str">
        <f>IF(F28&gt;=15,"Bulk Order",IF(F28&gt;=5,"Medium Order","Regular Order"))</f>
        <v>Regular Order</v>
      </c>
    </row>
    <row r="29" spans="1:12" ht="18" x14ac:dyDescent="0.35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6" t="s">
        <v>24</v>
      </c>
      <c r="L29" s="22" t="str">
        <f>IF(F29&gt;=15,"Bulk Order",IF(F29&gt;=5,"Medium Order","Regular Order"))</f>
        <v>Medium Order</v>
      </c>
    </row>
    <row r="30" spans="1:12" ht="18" x14ac:dyDescent="0.35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6" t="s">
        <v>24</v>
      </c>
      <c r="L30" s="22" t="str">
        <f>IF(F30&gt;=15,"Bulk Order",IF(F30&gt;=5,"Medium Order","Regular Order"))</f>
        <v>Bulk Order</v>
      </c>
    </row>
    <row r="31" spans="1:12" ht="18" x14ac:dyDescent="0.35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6" t="s">
        <v>15</v>
      </c>
      <c r="L31" s="22" t="str">
        <f>IF(F31&gt;=15,"Bulk Order",IF(F31&gt;=5,"Medium Order","Regular Order"))</f>
        <v>Medium Order</v>
      </c>
    </row>
    <row r="32" spans="1:12" ht="18" x14ac:dyDescent="0.35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6" t="s">
        <v>20</v>
      </c>
      <c r="L32" s="22" t="str">
        <f>IF(F32&gt;=15,"Bulk Order",IF(F32&gt;=5,"Medium Order","Regular Order"))</f>
        <v>Regular Order</v>
      </c>
    </row>
    <row r="33" spans="1:12" ht="18" x14ac:dyDescent="0.35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6" t="s">
        <v>29</v>
      </c>
      <c r="L33" s="22" t="str">
        <f>IF(F33&gt;=15,"Bulk Order",IF(F33&gt;=5,"Medium Order","Regular Order"))</f>
        <v>Bulk Order</v>
      </c>
    </row>
    <row r="34" spans="1:12" ht="18" x14ac:dyDescent="0.35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6" t="s">
        <v>29</v>
      </c>
      <c r="L34" s="22" t="str">
        <f>IF(F34&gt;=15,"Bulk Order",IF(F34&gt;=5,"Medium Order","Regular Order"))</f>
        <v>Medium Order</v>
      </c>
    </row>
    <row r="35" spans="1:12" ht="18" x14ac:dyDescent="0.35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6" t="s">
        <v>51</v>
      </c>
      <c r="L35" s="22" t="str">
        <f>IF(F35&gt;=15,"Bulk Order",IF(F35&gt;=5,"Medium Order","Regular Order"))</f>
        <v>Bulk Order</v>
      </c>
    </row>
    <row r="36" spans="1:12" ht="18" x14ac:dyDescent="0.35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6" t="s">
        <v>24</v>
      </c>
      <c r="L36" s="22" t="str">
        <f>IF(F36&gt;=15,"Bulk Order",IF(F36&gt;=5,"Medium Order","Regular Order"))</f>
        <v>Regular Order</v>
      </c>
    </row>
    <row r="37" spans="1:12" ht="18" x14ac:dyDescent="0.35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6" t="s">
        <v>24</v>
      </c>
      <c r="L37" s="22" t="str">
        <f>IF(F37&gt;=15,"Bulk Order",IF(F37&gt;=5,"Medium Order","Regular Order"))</f>
        <v>Bulk Order</v>
      </c>
    </row>
    <row r="38" spans="1:12" ht="18" x14ac:dyDescent="0.35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6" t="s">
        <v>24</v>
      </c>
      <c r="L38" s="22" t="str">
        <f>IF(F38&gt;=15,"Bulk Order",IF(F38&gt;=5,"Medium Order","Regular Order"))</f>
        <v>Medium Order</v>
      </c>
    </row>
    <row r="39" spans="1:12" ht="18" x14ac:dyDescent="0.35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6" t="s">
        <v>51</v>
      </c>
      <c r="L39" s="22" t="str">
        <f>IF(F39&gt;=15,"Bulk Order",IF(F39&gt;=5,"Medium Order","Regular Order"))</f>
        <v>Bulk Order</v>
      </c>
    </row>
    <row r="40" spans="1:12" ht="18" x14ac:dyDescent="0.35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6" t="s">
        <v>20</v>
      </c>
      <c r="L40" s="22" t="str">
        <f>IF(F40&gt;=15,"Bulk Order",IF(F40&gt;=5,"Medium Order","Regular Order"))</f>
        <v>Medium Order</v>
      </c>
    </row>
    <row r="41" spans="1:12" ht="18" x14ac:dyDescent="0.35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6" t="s">
        <v>24</v>
      </c>
      <c r="L41" s="22" t="str">
        <f>IF(F41&gt;=15,"Bulk Order",IF(F41&gt;=5,"Medium Order","Regular Order"))</f>
        <v>Medium Order</v>
      </c>
    </row>
    <row r="42" spans="1:12" ht="18" x14ac:dyDescent="0.35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6" t="s">
        <v>15</v>
      </c>
      <c r="L42" s="22" t="str">
        <f>IF(F42&gt;=15,"Bulk Order",IF(F42&gt;=5,"Medium Order","Regular Order"))</f>
        <v>Medium Order</v>
      </c>
    </row>
    <row r="43" spans="1:12" ht="18" x14ac:dyDescent="0.35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6" t="s">
        <v>29</v>
      </c>
      <c r="L43" s="22" t="str">
        <f>IF(F43&gt;=15,"Bulk Order",IF(F43&gt;=5,"Medium Order","Regular Order"))</f>
        <v>Bulk Order</v>
      </c>
    </row>
    <row r="44" spans="1:12" ht="18" x14ac:dyDescent="0.35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6" t="s">
        <v>29</v>
      </c>
      <c r="L44" s="22" t="str">
        <f>IF(F44&gt;=15,"Bulk Order",IF(F44&gt;=5,"Medium Order","Regular Order"))</f>
        <v>Bulk Order</v>
      </c>
    </row>
    <row r="45" spans="1:12" ht="18" x14ac:dyDescent="0.35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6" t="s">
        <v>20</v>
      </c>
      <c r="L45" s="22" t="str">
        <f>IF(F45&gt;=15,"Bulk Order",IF(F45&gt;=5,"Medium Order","Regular Order"))</f>
        <v>Regular Order</v>
      </c>
    </row>
    <row r="46" spans="1:12" ht="18" x14ac:dyDescent="0.35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6" t="s">
        <v>29</v>
      </c>
      <c r="L46" s="22" t="str">
        <f>IF(F46&gt;=15,"Bulk Order",IF(F46&gt;=5,"Medium Order","Regular Order"))</f>
        <v>Regular Order</v>
      </c>
    </row>
    <row r="47" spans="1:12" ht="18" x14ac:dyDescent="0.35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6" t="s">
        <v>29</v>
      </c>
      <c r="L47" s="22" t="str">
        <f>IF(F47&gt;=15,"Bulk Order",IF(F47&gt;=5,"Medium Order","Regular Order"))</f>
        <v>Regular Order</v>
      </c>
    </row>
    <row r="48" spans="1:12" ht="18" x14ac:dyDescent="0.35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6" t="s">
        <v>15</v>
      </c>
      <c r="L48" s="22" t="str">
        <f>IF(F48&gt;=15,"Bulk Order",IF(F48&gt;=5,"Medium Order","Regular Order"))</f>
        <v>Medium Order</v>
      </c>
    </row>
    <row r="49" spans="1:12" ht="18" x14ac:dyDescent="0.35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6" t="s">
        <v>24</v>
      </c>
      <c r="L49" s="22" t="str">
        <f>IF(F49&gt;=15,"Bulk Order",IF(F49&gt;=5,"Medium Order","Regular Order"))</f>
        <v>Medium Order</v>
      </c>
    </row>
    <row r="50" spans="1:12" ht="18" x14ac:dyDescent="0.35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6" t="s">
        <v>24</v>
      </c>
      <c r="L50" s="22" t="str">
        <f>IF(F50&gt;=15,"Bulk Order",IF(F50&gt;=5,"Medium Order","Regular Order"))</f>
        <v>Regular Order</v>
      </c>
    </row>
    <row r="51" spans="1:12" ht="18" x14ac:dyDescent="0.35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6" t="s">
        <v>29</v>
      </c>
      <c r="L51" s="22" t="str">
        <f>IF(F51&gt;=15,"Bulk Order",IF(F51&gt;=5,"Medium Order","Regular Order"))</f>
        <v>Medium Order</v>
      </c>
    </row>
    <row r="52" spans="1:12" ht="18" x14ac:dyDescent="0.35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6" t="s">
        <v>15</v>
      </c>
      <c r="L52" s="22" t="str">
        <f>IF(F52&gt;=15,"Bulk Order",IF(F52&gt;=5,"Medium Order","Regular Order"))</f>
        <v>Medium Order</v>
      </c>
    </row>
    <row r="53" spans="1:12" ht="18" x14ac:dyDescent="0.35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6" t="s">
        <v>20</v>
      </c>
      <c r="L53" s="22" t="str">
        <f>IF(F53&gt;=15,"Bulk Order",IF(F53&gt;=5,"Medium Order","Regular Order"))</f>
        <v>Bulk Order</v>
      </c>
    </row>
    <row r="54" spans="1:12" ht="18" x14ac:dyDescent="0.35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6" t="s">
        <v>24</v>
      </c>
      <c r="L54" s="22" t="str">
        <f>IF(F54&gt;=15,"Bulk Order",IF(F54&gt;=5,"Medium Order","Regular Order"))</f>
        <v>Regular Order</v>
      </c>
    </row>
    <row r="55" spans="1:12" ht="18" x14ac:dyDescent="0.35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6" t="s">
        <v>51</v>
      </c>
      <c r="L55" s="22" t="str">
        <f>IF(F55&gt;=15,"Bulk Order",IF(F55&gt;=5,"Medium Order","Regular Order"))</f>
        <v>Medium Order</v>
      </c>
    </row>
    <row r="56" spans="1:12" ht="18" x14ac:dyDescent="0.35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6" t="s">
        <v>15</v>
      </c>
      <c r="L56" s="22" t="str">
        <f>IF(F56&gt;=15,"Bulk Order",IF(F56&gt;=5,"Medium Order","Regular Order"))</f>
        <v>Bulk Order</v>
      </c>
    </row>
    <row r="57" spans="1:12" ht="18" x14ac:dyDescent="0.35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6" t="s">
        <v>24</v>
      </c>
      <c r="L57" s="22" t="str">
        <f>IF(F57&gt;=15,"Bulk Order",IF(F57&gt;=5,"Medium Order","Regular Order"))</f>
        <v>Regular Order</v>
      </c>
    </row>
    <row r="58" spans="1:12" ht="18" x14ac:dyDescent="0.35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6" t="s">
        <v>51</v>
      </c>
      <c r="L58" s="22" t="str">
        <f>IF(F58&gt;=15,"Bulk Order",IF(F58&gt;=5,"Medium Order","Regular Order"))</f>
        <v>Regular Order</v>
      </c>
    </row>
    <row r="59" spans="1:12" ht="18" x14ac:dyDescent="0.35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6" t="s">
        <v>24</v>
      </c>
      <c r="L59" s="22" t="str">
        <f>IF(F59&gt;=15,"Bulk Order",IF(F59&gt;=5,"Medium Order","Regular Order"))</f>
        <v>Medium Order</v>
      </c>
    </row>
    <row r="60" spans="1:12" ht="18" x14ac:dyDescent="0.35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6" t="s">
        <v>51</v>
      </c>
      <c r="L60" s="22" t="str">
        <f>IF(F60&gt;=15,"Bulk Order",IF(F60&gt;=5,"Medium Order","Regular Order"))</f>
        <v>Bulk Order</v>
      </c>
    </row>
    <row r="61" spans="1:12" ht="18" x14ac:dyDescent="0.35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6" t="s">
        <v>20</v>
      </c>
      <c r="L61" s="22" t="str">
        <f>IF(F61&gt;=15,"Bulk Order",IF(F61&gt;=5,"Medium Order","Regular Order"))</f>
        <v>Medium Order</v>
      </c>
    </row>
    <row r="62" spans="1:12" ht="18" x14ac:dyDescent="0.35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6" t="s">
        <v>20</v>
      </c>
      <c r="L62" s="22" t="str">
        <f>IF(F62&gt;=15,"Bulk Order",IF(F62&gt;=5,"Medium Order","Regular Order"))</f>
        <v>Bulk Order</v>
      </c>
    </row>
    <row r="63" spans="1:12" ht="18" x14ac:dyDescent="0.35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6" t="s">
        <v>51</v>
      </c>
      <c r="L63" s="22" t="str">
        <f>IF(F63&gt;=15,"Bulk Order",IF(F63&gt;=5,"Medium Order","Regular Order"))</f>
        <v>Medium Order</v>
      </c>
    </row>
    <row r="64" spans="1:12" ht="18" x14ac:dyDescent="0.35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6" t="s">
        <v>15</v>
      </c>
      <c r="L64" s="22" t="str">
        <f>IF(F64&gt;=15,"Bulk Order",IF(F64&gt;=5,"Medium Order","Regular Order"))</f>
        <v>Medium Order</v>
      </c>
    </row>
    <row r="65" spans="1:12" ht="18" x14ac:dyDescent="0.35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6" t="s">
        <v>29</v>
      </c>
      <c r="L65" s="22" t="str">
        <f>IF(F65&gt;=15,"Bulk Order",IF(F65&gt;=5,"Medium Order","Regular Order"))</f>
        <v>Bulk Order</v>
      </c>
    </row>
    <row r="66" spans="1:12" ht="18" x14ac:dyDescent="0.35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6" t="s">
        <v>51</v>
      </c>
      <c r="L66" s="22" t="str">
        <f>IF(F66&gt;=15,"Bulk Order",IF(F66&gt;=5,"Medium Order","Regular Order"))</f>
        <v>Regular Order</v>
      </c>
    </row>
    <row r="67" spans="1:12" ht="18" x14ac:dyDescent="0.35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6" t="s">
        <v>15</v>
      </c>
      <c r="L67" s="22" t="str">
        <f>IF(F67&gt;=15,"Bulk Order",IF(F67&gt;=5,"Medium Order","Regular Order"))</f>
        <v>Bulk Order</v>
      </c>
    </row>
    <row r="68" spans="1:12" ht="18" x14ac:dyDescent="0.35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6" t="s">
        <v>29</v>
      </c>
      <c r="L68" s="22" t="str">
        <f>IF(F68&gt;=15,"Bulk Order",IF(F68&gt;=5,"Medium Order","Regular Order"))</f>
        <v>Medium Order</v>
      </c>
    </row>
    <row r="69" spans="1:12" ht="18" x14ac:dyDescent="0.35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6" t="s">
        <v>29</v>
      </c>
      <c r="L69" s="22" t="str">
        <f>IF(F69&gt;=15,"Bulk Order",IF(F69&gt;=5,"Medium Order","Regular Order"))</f>
        <v>Bulk Order</v>
      </c>
    </row>
    <row r="70" spans="1:12" ht="18" x14ac:dyDescent="0.35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6" t="s">
        <v>15</v>
      </c>
      <c r="L70" s="22" t="str">
        <f>IF(F70&gt;=15,"Bulk Order",IF(F70&gt;=5,"Medium Order","Regular Order"))</f>
        <v>Medium Order</v>
      </c>
    </row>
    <row r="71" spans="1:12" ht="18" x14ac:dyDescent="0.35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6" t="s">
        <v>29</v>
      </c>
      <c r="L71" s="22" t="str">
        <f>IF(F71&gt;=15,"Bulk Order",IF(F71&gt;=5,"Medium Order","Regular Order"))</f>
        <v>Medium Order</v>
      </c>
    </row>
    <row r="72" spans="1:12" ht="18" x14ac:dyDescent="0.35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6" t="s">
        <v>20</v>
      </c>
      <c r="L72" s="22" t="str">
        <f>IF(F72&gt;=15,"Bulk Order",IF(F72&gt;=5,"Medium Order","Regular Order"))</f>
        <v>Bulk Order</v>
      </c>
    </row>
    <row r="73" spans="1:12" ht="18" x14ac:dyDescent="0.35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6" t="s">
        <v>24</v>
      </c>
      <c r="L73" s="22" t="str">
        <f>IF(F73&gt;=15,"Bulk Order",IF(F73&gt;=5,"Medium Order","Regular Order"))</f>
        <v>Bulk Order</v>
      </c>
    </row>
    <row r="74" spans="1:12" ht="18" x14ac:dyDescent="0.35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6" t="s">
        <v>51</v>
      </c>
      <c r="L74" s="22" t="str">
        <f>IF(F74&gt;=15,"Bulk Order",IF(F74&gt;=5,"Medium Order","Regular Order"))</f>
        <v>Regular Order</v>
      </c>
    </row>
    <row r="75" spans="1:12" ht="18" x14ac:dyDescent="0.35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6" t="s">
        <v>29</v>
      </c>
      <c r="L75" s="22" t="str">
        <f>IF(F75&gt;=15,"Bulk Order",IF(F75&gt;=5,"Medium Order","Regular Order"))</f>
        <v>Medium Order</v>
      </c>
    </row>
    <row r="76" spans="1:12" ht="18" x14ac:dyDescent="0.35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6" t="s">
        <v>51</v>
      </c>
      <c r="L76" s="22" t="str">
        <f>IF(F76&gt;=15,"Bulk Order",IF(F76&gt;=5,"Medium Order","Regular Order"))</f>
        <v>Regular Order</v>
      </c>
    </row>
    <row r="77" spans="1:12" ht="18" x14ac:dyDescent="0.35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6" t="s">
        <v>29</v>
      </c>
      <c r="L77" s="22" t="str">
        <f>IF(F77&gt;=15,"Bulk Order",IF(F77&gt;=5,"Medium Order","Regular Order"))</f>
        <v>Bulk Order</v>
      </c>
    </row>
    <row r="78" spans="1:12" ht="18" x14ac:dyDescent="0.35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6" t="s">
        <v>51</v>
      </c>
      <c r="L78" s="22" t="str">
        <f>IF(F78&gt;=15,"Bulk Order",IF(F78&gt;=5,"Medium Order","Regular Order"))</f>
        <v>Regular Order</v>
      </c>
    </row>
    <row r="79" spans="1:12" ht="18" x14ac:dyDescent="0.35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6" t="s">
        <v>29</v>
      </c>
      <c r="L79" s="22" t="str">
        <f>IF(F79&gt;=15,"Bulk Order",IF(F79&gt;=5,"Medium Order","Regular Order"))</f>
        <v>Medium Order</v>
      </c>
    </row>
    <row r="80" spans="1:12" ht="18" x14ac:dyDescent="0.35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6" t="s">
        <v>51</v>
      </c>
      <c r="L80" s="22" t="str">
        <f>IF(F80&gt;=15,"Bulk Order",IF(F80&gt;=5,"Medium Order","Regular Order"))</f>
        <v>Bulk Order</v>
      </c>
    </row>
    <row r="81" spans="1:12" ht="18" x14ac:dyDescent="0.35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6" t="s">
        <v>24</v>
      </c>
      <c r="L81" s="22" t="str">
        <f>IF(F81&gt;=15,"Bulk Order",IF(F81&gt;=5,"Medium Order","Regular Order"))</f>
        <v>Medium Order</v>
      </c>
    </row>
    <row r="82" spans="1:12" ht="18" x14ac:dyDescent="0.35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6" t="s">
        <v>51</v>
      </c>
      <c r="L82" s="22" t="str">
        <f>IF(F82&gt;=15,"Bulk Order",IF(F82&gt;=5,"Medium Order","Regular Order"))</f>
        <v>Bulk Order</v>
      </c>
    </row>
    <row r="83" spans="1:12" ht="18" x14ac:dyDescent="0.35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6" t="s">
        <v>51</v>
      </c>
      <c r="L83" s="22" t="str">
        <f>IF(F83&gt;=15,"Bulk Order",IF(F83&gt;=5,"Medium Order","Regular Order"))</f>
        <v>Medium Order</v>
      </c>
    </row>
    <row r="84" spans="1:12" ht="18" x14ac:dyDescent="0.35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6" t="s">
        <v>15</v>
      </c>
      <c r="L84" s="22" t="str">
        <f>IF(F84&gt;=15,"Bulk Order",IF(F84&gt;=5,"Medium Order","Regular Order"))</f>
        <v>Regular Order</v>
      </c>
    </row>
    <row r="85" spans="1:12" ht="18" x14ac:dyDescent="0.35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6" t="s">
        <v>20</v>
      </c>
      <c r="L85" s="22" t="str">
        <f>IF(F85&gt;=15,"Bulk Order",IF(F85&gt;=5,"Medium Order","Regular Order"))</f>
        <v>Regular Order</v>
      </c>
    </row>
    <row r="86" spans="1:12" ht="18" x14ac:dyDescent="0.35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6" t="s">
        <v>24</v>
      </c>
      <c r="L86" s="22" t="str">
        <f>IF(F86&gt;=15,"Bulk Order",IF(F86&gt;=5,"Medium Order","Regular Order"))</f>
        <v>Bulk Order</v>
      </c>
    </row>
    <row r="87" spans="1:12" ht="18" x14ac:dyDescent="0.35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6" t="s">
        <v>24</v>
      </c>
      <c r="L87" s="22" t="str">
        <f>IF(F87&gt;=15,"Bulk Order",IF(F87&gt;=5,"Medium Order","Regular Order"))</f>
        <v>Bulk Order</v>
      </c>
    </row>
    <row r="88" spans="1:12" ht="18" x14ac:dyDescent="0.35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6" t="s">
        <v>24</v>
      </c>
      <c r="L88" s="22" t="str">
        <f>IF(F88&gt;=15,"Bulk Order",IF(F88&gt;=5,"Medium Order","Regular Order"))</f>
        <v>Medium Order</v>
      </c>
    </row>
    <row r="89" spans="1:12" ht="18" x14ac:dyDescent="0.35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6" t="s">
        <v>20</v>
      </c>
      <c r="L89" s="22" t="str">
        <f>IF(F89&gt;=15,"Bulk Order",IF(F89&gt;=5,"Medium Order","Regular Order"))</f>
        <v>Bulk Order</v>
      </c>
    </row>
    <row r="90" spans="1:12" ht="18" x14ac:dyDescent="0.35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6" t="s">
        <v>24</v>
      </c>
      <c r="L90" s="22" t="str">
        <f>IF(F90&gt;=15,"Bulk Order",IF(F90&gt;=5,"Medium Order","Regular Order"))</f>
        <v>Medium Order</v>
      </c>
    </row>
    <row r="91" spans="1:12" ht="18" x14ac:dyDescent="0.35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6" t="s">
        <v>24</v>
      </c>
      <c r="L91" s="22" t="str">
        <f>IF(F91&gt;=15,"Bulk Order",IF(F91&gt;=5,"Medium Order","Regular Order"))</f>
        <v>Bulk Order</v>
      </c>
    </row>
    <row r="92" spans="1:12" ht="18" x14ac:dyDescent="0.35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6" t="s">
        <v>15</v>
      </c>
      <c r="L92" s="22" t="str">
        <f>IF(F92&gt;=15,"Bulk Order",IF(F92&gt;=5,"Medium Order","Regular Order"))</f>
        <v>Regular Order</v>
      </c>
    </row>
    <row r="93" spans="1:12" ht="18" x14ac:dyDescent="0.35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6" t="s">
        <v>29</v>
      </c>
      <c r="L93" s="22" t="str">
        <f>IF(F93&gt;=15,"Bulk Order",IF(F93&gt;=5,"Medium Order","Regular Order"))</f>
        <v>Medium Order</v>
      </c>
    </row>
    <row r="94" spans="1:12" ht="18" x14ac:dyDescent="0.35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6" t="s">
        <v>51</v>
      </c>
      <c r="L94" s="22" t="str">
        <f>IF(F94&gt;=15,"Bulk Order",IF(F94&gt;=5,"Medium Order","Regular Order"))</f>
        <v>Medium Order</v>
      </c>
    </row>
    <row r="95" spans="1:12" ht="18" x14ac:dyDescent="0.35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6" t="s">
        <v>29</v>
      </c>
      <c r="L95" s="22" t="str">
        <f>IF(F95&gt;=15,"Bulk Order",IF(F95&gt;=5,"Medium Order","Regular Order"))</f>
        <v>Regular Order</v>
      </c>
    </row>
    <row r="96" spans="1:12" ht="18" x14ac:dyDescent="0.35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6" t="s">
        <v>20</v>
      </c>
      <c r="L96" s="22" t="str">
        <f>IF(F96&gt;=15,"Bulk Order",IF(F96&gt;=5,"Medium Order","Regular Order"))</f>
        <v>Bulk Order</v>
      </c>
    </row>
    <row r="97" spans="1:12" ht="18" x14ac:dyDescent="0.35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6" t="s">
        <v>20</v>
      </c>
      <c r="L97" s="22" t="str">
        <f>IF(F97&gt;=15,"Bulk Order",IF(F97&gt;=5,"Medium Order","Regular Order"))</f>
        <v>Bulk Order</v>
      </c>
    </row>
    <row r="98" spans="1:12" ht="18" x14ac:dyDescent="0.35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6" t="s">
        <v>24</v>
      </c>
      <c r="L98" s="22" t="str">
        <f>IF(F98&gt;=15,"Bulk Order",IF(F98&gt;=5,"Medium Order","Regular Order"))</f>
        <v>Medium Order</v>
      </c>
    </row>
    <row r="99" spans="1:12" ht="18" x14ac:dyDescent="0.35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6" t="s">
        <v>51</v>
      </c>
      <c r="L99" s="22" t="str">
        <f>IF(F99&gt;=15,"Bulk Order",IF(F99&gt;=5,"Medium Order","Regular Order"))</f>
        <v>Bulk Order</v>
      </c>
    </row>
    <row r="100" spans="1:12" ht="18" x14ac:dyDescent="0.35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6" t="s">
        <v>15</v>
      </c>
      <c r="L100" s="22" t="str">
        <f>IF(F100&gt;=15,"Bulk Order",IF(F100&gt;=5,"Medium Order","Regular Order"))</f>
        <v>Regular Order</v>
      </c>
    </row>
    <row r="101" spans="1:12" ht="18" x14ac:dyDescent="0.35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6" t="s">
        <v>51</v>
      </c>
      <c r="L101" s="22" t="str">
        <f>IF(F101&gt;=15,"Bulk Order",IF(F101&gt;=5,"Medium Order","Regular Order"))</f>
        <v>Medium Order</v>
      </c>
    </row>
    <row r="102" spans="1:12" ht="18" x14ac:dyDescent="0.35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6" t="s">
        <v>24</v>
      </c>
      <c r="L102" s="22" t="str">
        <f>IF(F102&gt;=15,"Bulk Order",IF(F102&gt;=5,"Medium Order","Regular Order"))</f>
        <v>Medium Order</v>
      </c>
    </row>
    <row r="103" spans="1:12" ht="18" x14ac:dyDescent="0.35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6" t="s">
        <v>51</v>
      </c>
      <c r="L103" s="22" t="str">
        <f>IF(F103&gt;=15,"Bulk Order",IF(F103&gt;=5,"Medium Order","Regular Order"))</f>
        <v>Medium Order</v>
      </c>
    </row>
    <row r="104" spans="1:12" ht="18" x14ac:dyDescent="0.35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6" t="s">
        <v>29</v>
      </c>
      <c r="L104" s="22" t="str">
        <f>IF(F104&gt;=15,"Bulk Order",IF(F104&gt;=5,"Medium Order","Regular Order"))</f>
        <v>Medium Order</v>
      </c>
    </row>
    <row r="105" spans="1:12" ht="18" x14ac:dyDescent="0.35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6" t="s">
        <v>29</v>
      </c>
      <c r="L105" s="22" t="str">
        <f>IF(F105&gt;=15,"Bulk Order",IF(F105&gt;=5,"Medium Order","Regular Order"))</f>
        <v>Medium Order</v>
      </c>
    </row>
    <row r="106" spans="1:12" ht="18" x14ac:dyDescent="0.35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6" t="s">
        <v>51</v>
      </c>
      <c r="L106" s="22" t="str">
        <f>IF(F106&gt;=15,"Bulk Order",IF(F106&gt;=5,"Medium Order","Regular Order"))</f>
        <v>Regular Order</v>
      </c>
    </row>
    <row r="107" spans="1:12" ht="18" x14ac:dyDescent="0.35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6" t="s">
        <v>29</v>
      </c>
      <c r="L107" s="22" t="str">
        <f>IF(F107&gt;=15,"Bulk Order",IF(F107&gt;=5,"Medium Order","Regular Order"))</f>
        <v>Bulk Order</v>
      </c>
    </row>
    <row r="108" spans="1:12" ht="18" x14ac:dyDescent="0.35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6" t="s">
        <v>15</v>
      </c>
      <c r="L108" s="22" t="str">
        <f>IF(F108&gt;=15,"Bulk Order",IF(F108&gt;=5,"Medium Order","Regular Order"))</f>
        <v>Regular Order</v>
      </c>
    </row>
    <row r="109" spans="1:12" ht="18" x14ac:dyDescent="0.35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6" t="s">
        <v>20</v>
      </c>
      <c r="L109" s="22" t="str">
        <f>IF(F109&gt;=15,"Bulk Order",IF(F109&gt;=5,"Medium Order","Regular Order"))</f>
        <v>Bulk Order</v>
      </c>
    </row>
    <row r="110" spans="1:12" ht="18" x14ac:dyDescent="0.35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6" t="s">
        <v>20</v>
      </c>
      <c r="L110" s="22" t="str">
        <f>IF(F110&gt;=15,"Bulk Order",IF(F110&gt;=5,"Medium Order","Regular Order"))</f>
        <v>Bulk Order</v>
      </c>
    </row>
    <row r="111" spans="1:12" ht="18" x14ac:dyDescent="0.35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6" t="s">
        <v>29</v>
      </c>
      <c r="L111" s="22" t="str">
        <f>IF(F111&gt;=15,"Bulk Order",IF(F111&gt;=5,"Medium Order","Regular Order"))</f>
        <v>Medium Order</v>
      </c>
    </row>
    <row r="112" spans="1:12" ht="18" x14ac:dyDescent="0.35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6" t="s">
        <v>29</v>
      </c>
      <c r="L112" s="22" t="str">
        <f>IF(F112&gt;=15,"Bulk Order",IF(F112&gt;=5,"Medium Order","Regular Order"))</f>
        <v>Medium Order</v>
      </c>
    </row>
    <row r="113" spans="1:12" ht="18" x14ac:dyDescent="0.35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6" t="s">
        <v>15</v>
      </c>
      <c r="L113" s="22" t="str">
        <f>IF(F113&gt;=15,"Bulk Order",IF(F113&gt;=5,"Medium Order","Regular Order"))</f>
        <v>Medium Order</v>
      </c>
    </row>
    <row r="114" spans="1:12" ht="18" x14ac:dyDescent="0.35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6" t="s">
        <v>24</v>
      </c>
      <c r="L114" s="22" t="str">
        <f>IF(F114&gt;=15,"Bulk Order",IF(F114&gt;=5,"Medium Order","Regular Order"))</f>
        <v>Medium Order</v>
      </c>
    </row>
    <row r="115" spans="1:12" ht="18" x14ac:dyDescent="0.35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6" t="s">
        <v>15</v>
      </c>
      <c r="L115" s="22" t="str">
        <f>IF(F115&gt;=15,"Bulk Order",IF(F115&gt;=5,"Medium Order","Regular Order"))</f>
        <v>Medium Order</v>
      </c>
    </row>
    <row r="116" spans="1:12" ht="18" x14ac:dyDescent="0.35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6" t="s">
        <v>29</v>
      </c>
      <c r="L116" s="22" t="str">
        <f>IF(F116&gt;=15,"Bulk Order",IF(F116&gt;=5,"Medium Order","Regular Order"))</f>
        <v>Medium Order</v>
      </c>
    </row>
    <row r="117" spans="1:12" ht="18" x14ac:dyDescent="0.35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6" t="s">
        <v>15</v>
      </c>
      <c r="L117" s="22" t="str">
        <f>IF(F117&gt;=15,"Bulk Order",IF(F117&gt;=5,"Medium Order","Regular Order"))</f>
        <v>Regular Order</v>
      </c>
    </row>
    <row r="118" spans="1:12" ht="18" x14ac:dyDescent="0.35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6" t="s">
        <v>29</v>
      </c>
      <c r="L118" s="22" t="str">
        <f>IF(F118&gt;=15,"Bulk Order",IF(F118&gt;=5,"Medium Order","Regular Order"))</f>
        <v>Bulk Order</v>
      </c>
    </row>
    <row r="119" spans="1:12" ht="18" x14ac:dyDescent="0.35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6" t="s">
        <v>29</v>
      </c>
      <c r="L119" s="22" t="str">
        <f>IF(F119&gt;=15,"Bulk Order",IF(F119&gt;=5,"Medium Order","Regular Order"))</f>
        <v>Bulk Order</v>
      </c>
    </row>
    <row r="120" spans="1:12" ht="18" x14ac:dyDescent="0.35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6" t="s">
        <v>51</v>
      </c>
      <c r="L120" s="22" t="str">
        <f>IF(F120&gt;=15,"Bulk Order",IF(F120&gt;=5,"Medium Order","Regular Order"))</f>
        <v>Regular Order</v>
      </c>
    </row>
    <row r="121" spans="1:12" ht="18" x14ac:dyDescent="0.35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6" t="s">
        <v>51</v>
      </c>
      <c r="L121" s="22" t="str">
        <f>IF(F121&gt;=15,"Bulk Order",IF(F121&gt;=5,"Medium Order","Regular Order"))</f>
        <v>Medium Order</v>
      </c>
    </row>
    <row r="122" spans="1:12" ht="18" x14ac:dyDescent="0.35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6" t="s">
        <v>29</v>
      </c>
      <c r="L122" s="22" t="str">
        <f>IF(F122&gt;=15,"Bulk Order",IF(F122&gt;=5,"Medium Order","Regular Order"))</f>
        <v>Regular Order</v>
      </c>
    </row>
    <row r="123" spans="1:12" ht="18" x14ac:dyDescent="0.35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6" t="s">
        <v>29</v>
      </c>
      <c r="L123" s="22" t="str">
        <f>IF(F123&gt;=15,"Bulk Order",IF(F123&gt;=5,"Medium Order","Regular Order"))</f>
        <v>Medium Order</v>
      </c>
    </row>
    <row r="124" spans="1:12" ht="18" x14ac:dyDescent="0.35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6" t="s">
        <v>29</v>
      </c>
      <c r="L124" s="22" t="str">
        <f>IF(F124&gt;=15,"Bulk Order",IF(F124&gt;=5,"Medium Order","Regular Order"))</f>
        <v>Bulk Order</v>
      </c>
    </row>
    <row r="125" spans="1:12" ht="18" x14ac:dyDescent="0.35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6" t="s">
        <v>51</v>
      </c>
      <c r="L125" s="22" t="str">
        <f>IF(F125&gt;=15,"Bulk Order",IF(F125&gt;=5,"Medium Order","Regular Order"))</f>
        <v>Regular Order</v>
      </c>
    </row>
    <row r="126" spans="1:12" ht="18" x14ac:dyDescent="0.35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6" t="s">
        <v>24</v>
      </c>
      <c r="L126" s="22" t="str">
        <f>IF(F126&gt;=15,"Bulk Order",IF(F126&gt;=5,"Medium Order","Regular Order"))</f>
        <v>Medium Order</v>
      </c>
    </row>
    <row r="127" spans="1:12" ht="18" x14ac:dyDescent="0.35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6" t="s">
        <v>29</v>
      </c>
      <c r="L127" s="22" t="str">
        <f>IF(F127&gt;=15,"Bulk Order",IF(F127&gt;=5,"Medium Order","Regular Order"))</f>
        <v>Bulk Order</v>
      </c>
    </row>
    <row r="128" spans="1:12" ht="18" x14ac:dyDescent="0.35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6" t="s">
        <v>29</v>
      </c>
      <c r="L128" s="22" t="str">
        <f>IF(F128&gt;=15,"Bulk Order",IF(F128&gt;=5,"Medium Order","Regular Order"))</f>
        <v>Bulk Order</v>
      </c>
    </row>
    <row r="129" spans="1:12" ht="18" x14ac:dyDescent="0.35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6" t="s">
        <v>29</v>
      </c>
      <c r="L129" s="22" t="str">
        <f>IF(F129&gt;=15,"Bulk Order",IF(F129&gt;=5,"Medium Order","Regular Order"))</f>
        <v>Medium Order</v>
      </c>
    </row>
    <row r="130" spans="1:12" ht="18" x14ac:dyDescent="0.35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6" t="s">
        <v>29</v>
      </c>
      <c r="L130" s="22" t="str">
        <f>IF(F130&gt;=15,"Bulk Order",IF(F130&gt;=5,"Medium Order","Regular Order"))</f>
        <v>Bulk Order</v>
      </c>
    </row>
    <row r="131" spans="1:12" ht="18" x14ac:dyDescent="0.35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6" t="s">
        <v>24</v>
      </c>
      <c r="L131" s="22" t="str">
        <f>IF(F131&gt;=15,"Bulk Order",IF(F131&gt;=5,"Medium Order","Regular Order"))</f>
        <v>Medium Order</v>
      </c>
    </row>
    <row r="132" spans="1:12" ht="18" x14ac:dyDescent="0.35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6" t="s">
        <v>51</v>
      </c>
      <c r="L132" s="22" t="str">
        <f>IF(F132&gt;=15,"Bulk Order",IF(F132&gt;=5,"Medium Order","Regular Order"))</f>
        <v>Medium Order</v>
      </c>
    </row>
    <row r="133" spans="1:12" ht="18" x14ac:dyDescent="0.35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6" t="s">
        <v>24</v>
      </c>
      <c r="L133" s="22" t="str">
        <f>IF(F133&gt;=15,"Bulk Order",IF(F133&gt;=5,"Medium Order","Regular Order"))</f>
        <v>Medium Order</v>
      </c>
    </row>
    <row r="134" spans="1:12" ht="18" x14ac:dyDescent="0.35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6" t="s">
        <v>51</v>
      </c>
      <c r="L134" s="22" t="str">
        <f>IF(F134&gt;=15,"Bulk Order",IF(F134&gt;=5,"Medium Order","Regular Order"))</f>
        <v>Medium Order</v>
      </c>
    </row>
    <row r="135" spans="1:12" ht="18" x14ac:dyDescent="0.35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6" t="s">
        <v>24</v>
      </c>
      <c r="L135" s="22" t="str">
        <f>IF(F135&gt;=15,"Bulk Order",IF(F135&gt;=5,"Medium Order","Regular Order"))</f>
        <v>Medium Order</v>
      </c>
    </row>
    <row r="136" spans="1:12" ht="18" x14ac:dyDescent="0.35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6" t="s">
        <v>15</v>
      </c>
      <c r="L136" s="22" t="str">
        <f>IF(F136&gt;=15,"Bulk Order",IF(F136&gt;=5,"Medium Order","Regular Order"))</f>
        <v>Medium Order</v>
      </c>
    </row>
    <row r="137" spans="1:12" ht="18" x14ac:dyDescent="0.35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6" t="s">
        <v>24</v>
      </c>
      <c r="L137" s="22" t="str">
        <f>IF(F137&gt;=15,"Bulk Order",IF(F137&gt;=5,"Medium Order","Regular Order"))</f>
        <v>Bulk Order</v>
      </c>
    </row>
    <row r="138" spans="1:12" ht="18" x14ac:dyDescent="0.35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6" t="s">
        <v>29</v>
      </c>
      <c r="L138" s="22" t="str">
        <f>IF(F138&gt;=15,"Bulk Order",IF(F138&gt;=5,"Medium Order","Regular Order"))</f>
        <v>Bulk Order</v>
      </c>
    </row>
    <row r="139" spans="1:12" ht="18" x14ac:dyDescent="0.35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6" t="s">
        <v>51</v>
      </c>
      <c r="L139" s="22" t="str">
        <f>IF(F139&gt;=15,"Bulk Order",IF(F139&gt;=5,"Medium Order","Regular Order"))</f>
        <v>Medium Order</v>
      </c>
    </row>
    <row r="140" spans="1:12" ht="18" x14ac:dyDescent="0.35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6" t="s">
        <v>15</v>
      </c>
      <c r="L140" s="22" t="str">
        <f>IF(F140&gt;=15,"Bulk Order",IF(F140&gt;=5,"Medium Order","Regular Order"))</f>
        <v>Bulk Order</v>
      </c>
    </row>
    <row r="141" spans="1:12" ht="18" x14ac:dyDescent="0.35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6" t="s">
        <v>15</v>
      </c>
      <c r="L141" s="22" t="str">
        <f>IF(F141&gt;=15,"Bulk Order",IF(F141&gt;=5,"Medium Order","Regular Order"))</f>
        <v>Medium Order</v>
      </c>
    </row>
    <row r="142" spans="1:12" ht="18" x14ac:dyDescent="0.35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6" t="s">
        <v>15</v>
      </c>
      <c r="L142" s="22" t="str">
        <f>IF(F142&gt;=15,"Bulk Order",IF(F142&gt;=5,"Medium Order","Regular Order"))</f>
        <v>Bulk Order</v>
      </c>
    </row>
    <row r="143" spans="1:12" ht="18" x14ac:dyDescent="0.35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6" t="s">
        <v>29</v>
      </c>
      <c r="L143" s="22" t="str">
        <f>IF(F143&gt;=15,"Bulk Order",IF(F143&gt;=5,"Medium Order","Regular Order"))</f>
        <v>Medium Order</v>
      </c>
    </row>
    <row r="144" spans="1:12" ht="18" x14ac:dyDescent="0.35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6" t="s">
        <v>24</v>
      </c>
      <c r="L144" s="22" t="str">
        <f>IF(F144&gt;=15,"Bulk Order",IF(F144&gt;=5,"Medium Order","Regular Order"))</f>
        <v>Medium Order</v>
      </c>
    </row>
    <row r="145" spans="1:12" ht="18" x14ac:dyDescent="0.35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6" t="s">
        <v>20</v>
      </c>
      <c r="L145" s="22" t="str">
        <f>IF(F145&gt;=15,"Bulk Order",IF(F145&gt;=5,"Medium Order","Regular Order"))</f>
        <v>Bulk Order</v>
      </c>
    </row>
    <row r="146" spans="1:12" ht="18" x14ac:dyDescent="0.35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6" t="s">
        <v>24</v>
      </c>
      <c r="L146" s="22" t="str">
        <f>IF(F146&gt;=15,"Bulk Order",IF(F146&gt;=5,"Medium Order","Regular Order"))</f>
        <v>Regular Order</v>
      </c>
    </row>
    <row r="147" spans="1:12" ht="18" x14ac:dyDescent="0.35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6" t="s">
        <v>29</v>
      </c>
      <c r="L147" s="22" t="str">
        <f>IF(F147&gt;=15,"Bulk Order",IF(F147&gt;=5,"Medium Order","Regular Order"))</f>
        <v>Medium Order</v>
      </c>
    </row>
    <row r="148" spans="1:12" ht="18" x14ac:dyDescent="0.35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6" t="s">
        <v>20</v>
      </c>
      <c r="L148" s="22" t="str">
        <f>IF(F148&gt;=15,"Bulk Order",IF(F148&gt;=5,"Medium Order","Regular Order"))</f>
        <v>Medium Order</v>
      </c>
    </row>
    <row r="149" spans="1:12" ht="18" x14ac:dyDescent="0.35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6" t="s">
        <v>24</v>
      </c>
      <c r="L149" s="22" t="str">
        <f>IF(F149&gt;=15,"Bulk Order",IF(F149&gt;=5,"Medium Order","Regular Order"))</f>
        <v>Medium Order</v>
      </c>
    </row>
    <row r="150" spans="1:12" ht="18" x14ac:dyDescent="0.35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6" t="s">
        <v>29</v>
      </c>
      <c r="L150" s="22" t="str">
        <f>IF(F150&gt;=15,"Bulk Order",IF(F150&gt;=5,"Medium Order","Regular Order"))</f>
        <v>Medium Order</v>
      </c>
    </row>
    <row r="151" spans="1:12" ht="18" x14ac:dyDescent="0.35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6" t="s">
        <v>24</v>
      </c>
      <c r="L151" s="22" t="str">
        <f>IF(F151&gt;=15,"Bulk Order",IF(F151&gt;=5,"Medium Order","Regular Order"))</f>
        <v>Medium Order</v>
      </c>
    </row>
    <row r="152" spans="1:12" ht="18" x14ac:dyDescent="0.35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6" t="s">
        <v>51</v>
      </c>
      <c r="L152" s="22" t="str">
        <f>IF(F152&gt;=15,"Bulk Order",IF(F152&gt;=5,"Medium Order","Regular Order"))</f>
        <v>Bulk Order</v>
      </c>
    </row>
    <row r="153" spans="1:12" ht="18" x14ac:dyDescent="0.35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6" t="s">
        <v>15</v>
      </c>
      <c r="L153" s="22" t="str">
        <f>IF(F153&gt;=15,"Bulk Order",IF(F153&gt;=5,"Medium Order","Regular Order"))</f>
        <v>Medium Order</v>
      </c>
    </row>
    <row r="154" spans="1:12" ht="18" x14ac:dyDescent="0.35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6" t="s">
        <v>29</v>
      </c>
      <c r="L154" s="22" t="str">
        <f>IF(F154&gt;=15,"Bulk Order",IF(F154&gt;=5,"Medium Order","Regular Order"))</f>
        <v>Bulk Order</v>
      </c>
    </row>
    <row r="155" spans="1:12" ht="18" x14ac:dyDescent="0.35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6" t="s">
        <v>51</v>
      </c>
      <c r="L155" s="22" t="str">
        <f>IF(F155&gt;=15,"Bulk Order",IF(F155&gt;=5,"Medium Order","Regular Order"))</f>
        <v>Bulk Order</v>
      </c>
    </row>
    <row r="156" spans="1:12" ht="18" x14ac:dyDescent="0.35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6" t="s">
        <v>24</v>
      </c>
      <c r="L156" s="22" t="str">
        <f>IF(F156&gt;=15,"Bulk Order",IF(F156&gt;=5,"Medium Order","Regular Order"))</f>
        <v>Medium Order</v>
      </c>
    </row>
    <row r="157" spans="1:12" ht="18" x14ac:dyDescent="0.35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6" t="s">
        <v>15</v>
      </c>
      <c r="L157" s="22" t="str">
        <f>IF(F157&gt;=15,"Bulk Order",IF(F157&gt;=5,"Medium Order","Regular Order"))</f>
        <v>Medium Order</v>
      </c>
    </row>
    <row r="158" spans="1:12" ht="18" x14ac:dyDescent="0.35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6" t="s">
        <v>29</v>
      </c>
      <c r="L158" s="22" t="str">
        <f>IF(F158&gt;=15,"Bulk Order",IF(F158&gt;=5,"Medium Order","Regular Order"))</f>
        <v>Regular Order</v>
      </c>
    </row>
    <row r="159" spans="1:12" ht="18" x14ac:dyDescent="0.35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6" t="s">
        <v>51</v>
      </c>
      <c r="L159" s="22" t="str">
        <f>IF(F159&gt;=15,"Bulk Order",IF(F159&gt;=5,"Medium Order","Regular Order"))</f>
        <v>Medium Order</v>
      </c>
    </row>
    <row r="160" spans="1:12" ht="18" x14ac:dyDescent="0.35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6" t="s">
        <v>15</v>
      </c>
      <c r="L160" s="22" t="str">
        <f>IF(F160&gt;=15,"Bulk Order",IF(F160&gt;=5,"Medium Order","Regular Order"))</f>
        <v>Bulk Order</v>
      </c>
    </row>
    <row r="161" spans="1:12" ht="18" x14ac:dyDescent="0.35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6" t="s">
        <v>51</v>
      </c>
      <c r="L161" s="22" t="str">
        <f>IF(F161&gt;=15,"Bulk Order",IF(F161&gt;=5,"Medium Order","Regular Order"))</f>
        <v>Medium Order</v>
      </c>
    </row>
    <row r="162" spans="1:12" ht="18" x14ac:dyDescent="0.35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6" t="s">
        <v>20</v>
      </c>
      <c r="L162" s="22" t="str">
        <f>IF(F162&gt;=15,"Bulk Order",IF(F162&gt;=5,"Medium Order","Regular Order"))</f>
        <v>Regular Order</v>
      </c>
    </row>
    <row r="163" spans="1:12" ht="18" x14ac:dyDescent="0.35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6" t="s">
        <v>20</v>
      </c>
      <c r="L163" s="22" t="str">
        <f>IF(F163&gt;=15,"Bulk Order",IF(F163&gt;=5,"Medium Order","Regular Order"))</f>
        <v>Regular Order</v>
      </c>
    </row>
    <row r="164" spans="1:12" ht="18" x14ac:dyDescent="0.35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6" t="s">
        <v>29</v>
      </c>
      <c r="L164" s="22" t="str">
        <f>IF(F164&gt;=15,"Bulk Order",IF(F164&gt;=5,"Medium Order","Regular Order"))</f>
        <v>Medium Order</v>
      </c>
    </row>
    <row r="165" spans="1:12" ht="18" x14ac:dyDescent="0.35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6" t="s">
        <v>51</v>
      </c>
      <c r="L165" s="22" t="str">
        <f>IF(F165&gt;=15,"Bulk Order",IF(F165&gt;=5,"Medium Order","Regular Order"))</f>
        <v>Medium Order</v>
      </c>
    </row>
    <row r="166" spans="1:12" ht="18" x14ac:dyDescent="0.35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6" t="s">
        <v>51</v>
      </c>
      <c r="L166" s="22" t="str">
        <f>IF(F166&gt;=15,"Bulk Order",IF(F166&gt;=5,"Medium Order","Regular Order"))</f>
        <v>Regular Order</v>
      </c>
    </row>
    <row r="167" spans="1:12" ht="18" x14ac:dyDescent="0.35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6" t="s">
        <v>20</v>
      </c>
      <c r="L167" s="22" t="str">
        <f>IF(F167&gt;=15,"Bulk Order",IF(F167&gt;=5,"Medium Order","Regular Order"))</f>
        <v>Regular Order</v>
      </c>
    </row>
    <row r="168" spans="1:12" ht="18" x14ac:dyDescent="0.35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6" t="s">
        <v>29</v>
      </c>
      <c r="L168" s="22" t="str">
        <f>IF(F168&gt;=15,"Bulk Order",IF(F168&gt;=5,"Medium Order","Regular Order"))</f>
        <v>Bulk Order</v>
      </c>
    </row>
    <row r="169" spans="1:12" ht="18" x14ac:dyDescent="0.35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6" t="s">
        <v>29</v>
      </c>
      <c r="L169" s="22" t="str">
        <f>IF(F169&gt;=15,"Bulk Order",IF(F169&gt;=5,"Medium Order","Regular Order"))</f>
        <v>Bulk Order</v>
      </c>
    </row>
    <row r="170" spans="1:12" ht="18" x14ac:dyDescent="0.35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6" t="s">
        <v>24</v>
      </c>
      <c r="L170" s="22" t="str">
        <f>IF(F170&gt;=15,"Bulk Order",IF(F170&gt;=5,"Medium Order","Regular Order"))</f>
        <v>Medium Order</v>
      </c>
    </row>
    <row r="171" spans="1:12" ht="18" x14ac:dyDescent="0.35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6" t="s">
        <v>24</v>
      </c>
      <c r="L171" s="22" t="str">
        <f>IF(F171&gt;=15,"Bulk Order",IF(F171&gt;=5,"Medium Order","Regular Order"))</f>
        <v>Medium Order</v>
      </c>
    </row>
    <row r="172" spans="1:12" ht="18" x14ac:dyDescent="0.35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6" t="s">
        <v>20</v>
      </c>
      <c r="L172" s="22" t="str">
        <f>IF(F172&gt;=15,"Bulk Order",IF(F172&gt;=5,"Medium Order","Regular Order"))</f>
        <v>Bulk Order</v>
      </c>
    </row>
    <row r="173" spans="1:12" ht="18" x14ac:dyDescent="0.35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6" t="s">
        <v>24</v>
      </c>
      <c r="L173" s="22" t="str">
        <f>IF(F173&gt;=15,"Bulk Order",IF(F173&gt;=5,"Medium Order","Regular Order"))</f>
        <v>Medium Order</v>
      </c>
    </row>
    <row r="174" spans="1:12" ht="18" x14ac:dyDescent="0.35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6" t="s">
        <v>51</v>
      </c>
      <c r="L174" s="22" t="str">
        <f>IF(F174&gt;=15,"Bulk Order",IF(F174&gt;=5,"Medium Order","Regular Order"))</f>
        <v>Bulk Order</v>
      </c>
    </row>
    <row r="175" spans="1:12" ht="18" x14ac:dyDescent="0.35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6" t="s">
        <v>24</v>
      </c>
      <c r="L175" s="22" t="str">
        <f>IF(F175&gt;=15,"Bulk Order",IF(F175&gt;=5,"Medium Order","Regular Order"))</f>
        <v>Medium Order</v>
      </c>
    </row>
    <row r="176" spans="1:12" ht="18" x14ac:dyDescent="0.35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6" t="s">
        <v>20</v>
      </c>
      <c r="L176" s="22" t="str">
        <f>IF(F176&gt;=15,"Bulk Order",IF(F176&gt;=5,"Medium Order","Regular Order"))</f>
        <v>Medium Order</v>
      </c>
    </row>
    <row r="177" spans="1:12" ht="18" x14ac:dyDescent="0.35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6" t="s">
        <v>29</v>
      </c>
      <c r="L177" s="22" t="str">
        <f>IF(F177&gt;=15,"Bulk Order",IF(F177&gt;=5,"Medium Order","Regular Order"))</f>
        <v>Bulk Order</v>
      </c>
    </row>
    <row r="178" spans="1:12" ht="18" x14ac:dyDescent="0.35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6" t="s">
        <v>20</v>
      </c>
      <c r="L178" s="22" t="str">
        <f>IF(F178&gt;=15,"Bulk Order",IF(F178&gt;=5,"Medium Order","Regular Order"))</f>
        <v>Medium Order</v>
      </c>
    </row>
    <row r="179" spans="1:12" ht="18" x14ac:dyDescent="0.35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6" t="s">
        <v>20</v>
      </c>
      <c r="L179" s="22" t="str">
        <f>IF(F179&gt;=15,"Bulk Order",IF(F179&gt;=5,"Medium Order","Regular Order"))</f>
        <v>Medium Order</v>
      </c>
    </row>
    <row r="180" spans="1:12" ht="18" x14ac:dyDescent="0.35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6" t="s">
        <v>15</v>
      </c>
      <c r="L180" s="22" t="str">
        <f>IF(F180&gt;=15,"Bulk Order",IF(F180&gt;=5,"Medium Order","Regular Order"))</f>
        <v>Medium Order</v>
      </c>
    </row>
    <row r="181" spans="1:12" ht="18" x14ac:dyDescent="0.35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6" t="s">
        <v>29</v>
      </c>
      <c r="L181" s="22" t="str">
        <f>IF(F181&gt;=15,"Bulk Order",IF(F181&gt;=5,"Medium Order","Regular Order"))</f>
        <v>Regular Order</v>
      </c>
    </row>
    <row r="182" spans="1:12" ht="18" x14ac:dyDescent="0.35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6" t="s">
        <v>15</v>
      </c>
      <c r="L182" s="22" t="str">
        <f>IF(F182&gt;=15,"Bulk Order",IF(F182&gt;=5,"Medium Order","Regular Order"))</f>
        <v>Regular Order</v>
      </c>
    </row>
    <row r="183" spans="1:12" ht="18" x14ac:dyDescent="0.35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6" t="s">
        <v>24</v>
      </c>
      <c r="L183" s="22" t="str">
        <f>IF(F183&gt;=15,"Bulk Order",IF(F183&gt;=5,"Medium Order","Regular Order"))</f>
        <v>Medium Order</v>
      </c>
    </row>
    <row r="184" spans="1:12" ht="18" x14ac:dyDescent="0.35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6" t="s">
        <v>20</v>
      </c>
      <c r="L184" s="22" t="str">
        <f>IF(F184&gt;=15,"Bulk Order",IF(F184&gt;=5,"Medium Order","Regular Order"))</f>
        <v>Regular Order</v>
      </c>
    </row>
    <row r="185" spans="1:12" ht="18" x14ac:dyDescent="0.35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6" t="s">
        <v>29</v>
      </c>
      <c r="L185" s="22" t="str">
        <f>IF(F185&gt;=15,"Bulk Order",IF(F185&gt;=5,"Medium Order","Regular Order"))</f>
        <v>Medium Order</v>
      </c>
    </row>
    <row r="186" spans="1:12" ht="18" x14ac:dyDescent="0.35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6" t="s">
        <v>15</v>
      </c>
      <c r="L186" s="22" t="str">
        <f>IF(F186&gt;=15,"Bulk Order",IF(F186&gt;=5,"Medium Order","Regular Order"))</f>
        <v>Bulk Order</v>
      </c>
    </row>
    <row r="187" spans="1:12" ht="18" x14ac:dyDescent="0.35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6" t="s">
        <v>24</v>
      </c>
      <c r="L187" s="22" t="str">
        <f>IF(F187&gt;=15,"Bulk Order",IF(F187&gt;=5,"Medium Order","Regular Order"))</f>
        <v>Medium Order</v>
      </c>
    </row>
    <row r="188" spans="1:12" ht="18" x14ac:dyDescent="0.35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6" t="s">
        <v>51</v>
      </c>
      <c r="L188" s="22" t="str">
        <f>IF(F188&gt;=15,"Bulk Order",IF(F188&gt;=5,"Medium Order","Regular Order"))</f>
        <v>Bulk Order</v>
      </c>
    </row>
    <row r="189" spans="1:12" ht="18" x14ac:dyDescent="0.35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6" t="s">
        <v>15</v>
      </c>
      <c r="L189" s="22" t="str">
        <f>IF(F189&gt;=15,"Bulk Order",IF(F189&gt;=5,"Medium Order","Regular Order"))</f>
        <v>Medium Order</v>
      </c>
    </row>
    <row r="190" spans="1:12" ht="18" x14ac:dyDescent="0.35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6" t="s">
        <v>29</v>
      </c>
      <c r="L190" s="22" t="str">
        <f>IF(F190&gt;=15,"Bulk Order",IF(F190&gt;=5,"Medium Order","Regular Order"))</f>
        <v>Medium Order</v>
      </c>
    </row>
    <row r="191" spans="1:12" ht="18" x14ac:dyDescent="0.35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6" t="s">
        <v>20</v>
      </c>
      <c r="L191" s="22" t="str">
        <f>IF(F191&gt;=15,"Bulk Order",IF(F191&gt;=5,"Medium Order","Regular Order"))</f>
        <v>Regular Order</v>
      </c>
    </row>
    <row r="192" spans="1:12" ht="18" x14ac:dyDescent="0.35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6" t="s">
        <v>20</v>
      </c>
      <c r="L192" s="22" t="str">
        <f>IF(F192&gt;=15,"Bulk Order",IF(F192&gt;=5,"Medium Order","Regular Order"))</f>
        <v>Medium Order</v>
      </c>
    </row>
    <row r="193" spans="1:12" ht="18" x14ac:dyDescent="0.35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6" t="s">
        <v>24</v>
      </c>
      <c r="L193" s="22" t="str">
        <f>IF(F193&gt;=15,"Bulk Order",IF(F193&gt;=5,"Medium Order","Regular Order"))</f>
        <v>Bulk Order</v>
      </c>
    </row>
    <row r="194" spans="1:12" ht="18" x14ac:dyDescent="0.35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6" t="s">
        <v>29</v>
      </c>
      <c r="L194" s="22" t="str">
        <f>IF(F194&gt;=15,"Bulk Order",IF(F194&gt;=5,"Medium Order","Regular Order"))</f>
        <v>Bulk Order</v>
      </c>
    </row>
    <row r="195" spans="1:12" ht="18" x14ac:dyDescent="0.35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6" t="s">
        <v>51</v>
      </c>
      <c r="L195" s="22" t="str">
        <f>IF(F195&gt;=15,"Bulk Order",IF(F195&gt;=5,"Medium Order","Regular Order"))</f>
        <v>Medium Order</v>
      </c>
    </row>
    <row r="196" spans="1:12" ht="18" x14ac:dyDescent="0.35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6" t="s">
        <v>51</v>
      </c>
      <c r="L196" s="22" t="str">
        <f>IF(F196&gt;=15,"Bulk Order",IF(F196&gt;=5,"Medium Order","Regular Order"))</f>
        <v>Bulk Order</v>
      </c>
    </row>
    <row r="197" spans="1:12" ht="18" x14ac:dyDescent="0.35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6" t="s">
        <v>20</v>
      </c>
      <c r="L197" s="22" t="str">
        <f>IF(F197&gt;=15,"Bulk Order",IF(F197&gt;=5,"Medium Order","Regular Order"))</f>
        <v>Bulk Order</v>
      </c>
    </row>
    <row r="198" spans="1:12" ht="18" x14ac:dyDescent="0.35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6" t="s">
        <v>15</v>
      </c>
      <c r="L198" s="22" t="str">
        <f>IF(F198&gt;=15,"Bulk Order",IF(F198&gt;=5,"Medium Order","Regular Order"))</f>
        <v>Medium Order</v>
      </c>
    </row>
    <row r="199" spans="1:12" ht="18" x14ac:dyDescent="0.35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6" t="s">
        <v>51</v>
      </c>
      <c r="L199" s="22" t="str">
        <f>IF(F199&gt;=15,"Bulk Order",IF(F199&gt;=5,"Medium Order","Regular Order"))</f>
        <v>Medium Order</v>
      </c>
    </row>
    <row r="200" spans="1:12" ht="18" x14ac:dyDescent="0.35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6" t="s">
        <v>24</v>
      </c>
      <c r="L200" s="22" t="str">
        <f>IF(F200&gt;=15,"Bulk Order",IF(F200&gt;=5,"Medium Order","Regular Order"))</f>
        <v>Regular Order</v>
      </c>
    </row>
    <row r="201" spans="1:12" ht="18" x14ac:dyDescent="0.35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6" t="s">
        <v>29</v>
      </c>
      <c r="L201" s="22" t="str">
        <f>IF(F201&gt;=15,"Bulk Order",IF(F201&gt;=5,"Medium Order","Regular Order"))</f>
        <v>Medium Order</v>
      </c>
    </row>
    <row r="202" spans="1:12" ht="18" x14ac:dyDescent="0.35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6" t="s">
        <v>20</v>
      </c>
      <c r="L202" s="22" t="str">
        <f>IF(F202&gt;=15,"Bulk Order",IF(F202&gt;=5,"Medium Order","Regular Order"))</f>
        <v>Bulk Order</v>
      </c>
    </row>
    <row r="203" spans="1:12" ht="18" x14ac:dyDescent="0.35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6" t="s">
        <v>15</v>
      </c>
      <c r="L203" s="22" t="str">
        <f>IF(F203&gt;=15,"Bulk Order",IF(F203&gt;=5,"Medium Order","Regular Order"))</f>
        <v>Regular Order</v>
      </c>
    </row>
    <row r="204" spans="1:12" ht="18" x14ac:dyDescent="0.35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6" t="s">
        <v>51</v>
      </c>
      <c r="L204" s="22" t="str">
        <f>IF(F204&gt;=15,"Bulk Order",IF(F204&gt;=5,"Medium Order","Regular Order"))</f>
        <v>Bulk Order</v>
      </c>
    </row>
    <row r="205" spans="1:12" ht="18" x14ac:dyDescent="0.35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6" t="s">
        <v>20</v>
      </c>
      <c r="L205" s="22" t="str">
        <f>IF(F205&gt;=15,"Bulk Order",IF(F205&gt;=5,"Medium Order","Regular Order"))</f>
        <v>Medium Order</v>
      </c>
    </row>
    <row r="206" spans="1:12" ht="18" x14ac:dyDescent="0.35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6" t="s">
        <v>51</v>
      </c>
      <c r="L206" s="22" t="str">
        <f>IF(F206&gt;=15,"Bulk Order",IF(F206&gt;=5,"Medium Order","Regular Order"))</f>
        <v>Regular Order</v>
      </c>
    </row>
    <row r="207" spans="1:12" ht="18" x14ac:dyDescent="0.35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6" t="s">
        <v>15</v>
      </c>
      <c r="L207" s="22" t="str">
        <f>IF(F207&gt;=15,"Bulk Order",IF(F207&gt;=5,"Medium Order","Regular Order"))</f>
        <v>Medium Order</v>
      </c>
    </row>
    <row r="208" spans="1:12" ht="18" x14ac:dyDescent="0.35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6" t="s">
        <v>24</v>
      </c>
      <c r="L208" s="22" t="str">
        <f>IF(F208&gt;=15,"Bulk Order",IF(F208&gt;=5,"Medium Order","Regular Order"))</f>
        <v>Medium Order</v>
      </c>
    </row>
    <row r="209" spans="1:12" ht="18" x14ac:dyDescent="0.35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6" t="s">
        <v>20</v>
      </c>
      <c r="L209" s="22" t="str">
        <f>IF(F209&gt;=15,"Bulk Order",IF(F209&gt;=5,"Medium Order","Regular Order"))</f>
        <v>Medium Order</v>
      </c>
    </row>
    <row r="210" spans="1:12" ht="18" x14ac:dyDescent="0.35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6" t="s">
        <v>20</v>
      </c>
      <c r="L210" s="22" t="str">
        <f>IF(F210&gt;=15,"Bulk Order",IF(F210&gt;=5,"Medium Order","Regular Order"))</f>
        <v>Bulk Order</v>
      </c>
    </row>
    <row r="211" spans="1:12" ht="18" x14ac:dyDescent="0.35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6" t="s">
        <v>29</v>
      </c>
      <c r="L211" s="22" t="str">
        <f>IF(F211&gt;=15,"Bulk Order",IF(F211&gt;=5,"Medium Order","Regular Order"))</f>
        <v>Medium Order</v>
      </c>
    </row>
    <row r="212" spans="1:12" ht="18" x14ac:dyDescent="0.35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6" t="s">
        <v>15</v>
      </c>
      <c r="L212" s="22" t="str">
        <f>IF(F212&gt;=15,"Bulk Order",IF(F212&gt;=5,"Medium Order","Regular Order"))</f>
        <v>Regular Order</v>
      </c>
    </row>
    <row r="213" spans="1:12" ht="18" x14ac:dyDescent="0.35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6" t="s">
        <v>29</v>
      </c>
      <c r="L213" s="22" t="str">
        <f>IF(F213&gt;=15,"Bulk Order",IF(F213&gt;=5,"Medium Order","Regular Order"))</f>
        <v>Medium Order</v>
      </c>
    </row>
    <row r="214" spans="1:12" ht="18" x14ac:dyDescent="0.35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6" t="s">
        <v>15</v>
      </c>
      <c r="L214" s="22" t="str">
        <f>IF(F214&gt;=15,"Bulk Order",IF(F214&gt;=5,"Medium Order","Regular Order"))</f>
        <v>Bulk Order</v>
      </c>
    </row>
    <row r="215" spans="1:12" ht="18" x14ac:dyDescent="0.35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6" t="s">
        <v>51</v>
      </c>
      <c r="L215" s="22" t="str">
        <f>IF(F215&gt;=15,"Bulk Order",IF(F215&gt;=5,"Medium Order","Regular Order"))</f>
        <v>Bulk Order</v>
      </c>
    </row>
    <row r="216" spans="1:12" ht="18" x14ac:dyDescent="0.35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6" t="s">
        <v>29</v>
      </c>
      <c r="L216" s="22" t="str">
        <f>IF(F216&gt;=15,"Bulk Order",IF(F216&gt;=5,"Medium Order","Regular Order"))</f>
        <v>Medium Order</v>
      </c>
    </row>
    <row r="217" spans="1:12" ht="18" x14ac:dyDescent="0.35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6" t="s">
        <v>29</v>
      </c>
      <c r="L217" s="22" t="str">
        <f>IF(F217&gt;=15,"Bulk Order",IF(F217&gt;=5,"Medium Order","Regular Order"))</f>
        <v>Medium Order</v>
      </c>
    </row>
    <row r="218" spans="1:12" ht="18" x14ac:dyDescent="0.35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6" t="s">
        <v>29</v>
      </c>
      <c r="L218" s="22" t="str">
        <f>IF(F218&gt;=15,"Bulk Order",IF(F218&gt;=5,"Medium Order","Regular Order"))</f>
        <v>Bulk Order</v>
      </c>
    </row>
    <row r="219" spans="1:12" ht="18" x14ac:dyDescent="0.35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6" t="s">
        <v>51</v>
      </c>
      <c r="L219" s="22" t="str">
        <f>IF(F219&gt;=15,"Bulk Order",IF(F219&gt;=5,"Medium Order","Regular Order"))</f>
        <v>Regular Order</v>
      </c>
    </row>
    <row r="220" spans="1:12" ht="18" x14ac:dyDescent="0.35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6" t="s">
        <v>29</v>
      </c>
      <c r="L220" s="22" t="str">
        <f>IF(F220&gt;=15,"Bulk Order",IF(F220&gt;=5,"Medium Order","Regular Order"))</f>
        <v>Regular Order</v>
      </c>
    </row>
    <row r="221" spans="1:12" ht="18" x14ac:dyDescent="0.35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6" t="s">
        <v>24</v>
      </c>
      <c r="L221" s="22" t="str">
        <f>IF(F221&gt;=15,"Bulk Order",IF(F221&gt;=5,"Medium Order","Regular Order"))</f>
        <v>Regular Order</v>
      </c>
    </row>
    <row r="222" spans="1:12" ht="18" x14ac:dyDescent="0.35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6" t="s">
        <v>51</v>
      </c>
      <c r="L222" s="22" t="str">
        <f>IF(F222&gt;=15,"Bulk Order",IF(F222&gt;=5,"Medium Order","Regular Order"))</f>
        <v>Bulk Order</v>
      </c>
    </row>
    <row r="223" spans="1:12" ht="18" x14ac:dyDescent="0.35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6" t="s">
        <v>15</v>
      </c>
      <c r="L223" s="22" t="str">
        <f>IF(F223&gt;=15,"Bulk Order",IF(F223&gt;=5,"Medium Order","Regular Order"))</f>
        <v>Medium Order</v>
      </c>
    </row>
    <row r="224" spans="1:12" ht="18" x14ac:dyDescent="0.35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6" t="s">
        <v>15</v>
      </c>
      <c r="L224" s="22" t="str">
        <f>IF(F224&gt;=15,"Bulk Order",IF(F224&gt;=5,"Medium Order","Regular Order"))</f>
        <v>Regular Order</v>
      </c>
    </row>
    <row r="225" spans="1:12" ht="18" x14ac:dyDescent="0.35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6" t="s">
        <v>24</v>
      </c>
      <c r="L225" s="22" t="str">
        <f>IF(F225&gt;=15,"Bulk Order",IF(F225&gt;=5,"Medium Order","Regular Order"))</f>
        <v>Bulk Order</v>
      </c>
    </row>
    <row r="226" spans="1:12" ht="18" x14ac:dyDescent="0.35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6" t="s">
        <v>20</v>
      </c>
      <c r="L226" s="22" t="str">
        <f>IF(F226&gt;=15,"Bulk Order",IF(F226&gt;=5,"Medium Order","Regular Order"))</f>
        <v>Bulk Order</v>
      </c>
    </row>
    <row r="227" spans="1:12" ht="18" x14ac:dyDescent="0.35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6" t="s">
        <v>29</v>
      </c>
      <c r="L227" s="22" t="str">
        <f>IF(F227&gt;=15,"Bulk Order",IF(F227&gt;=5,"Medium Order","Regular Order"))</f>
        <v>Medium Order</v>
      </c>
    </row>
    <row r="228" spans="1:12" ht="18" x14ac:dyDescent="0.35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6" t="s">
        <v>15</v>
      </c>
      <c r="L228" s="22" t="str">
        <f>IF(F228&gt;=15,"Bulk Order",IF(F228&gt;=5,"Medium Order","Regular Order"))</f>
        <v>Bulk Order</v>
      </c>
    </row>
    <row r="229" spans="1:12" ht="18" x14ac:dyDescent="0.35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6" t="s">
        <v>24</v>
      </c>
      <c r="L229" s="22" t="str">
        <f>IF(F229&gt;=15,"Bulk Order",IF(F229&gt;=5,"Medium Order","Regular Order"))</f>
        <v>Bulk Order</v>
      </c>
    </row>
    <row r="230" spans="1:12" ht="18" x14ac:dyDescent="0.35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6" t="s">
        <v>20</v>
      </c>
      <c r="L230" s="22" t="str">
        <f>IF(F230&gt;=15,"Bulk Order",IF(F230&gt;=5,"Medium Order","Regular Order"))</f>
        <v>Medium Order</v>
      </c>
    </row>
    <row r="231" spans="1:12" ht="18" x14ac:dyDescent="0.35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6" t="s">
        <v>24</v>
      </c>
      <c r="L231" s="22" t="str">
        <f>IF(F231&gt;=15,"Bulk Order",IF(F231&gt;=5,"Medium Order","Regular Order"))</f>
        <v>Medium Order</v>
      </c>
    </row>
    <row r="232" spans="1:12" ht="18" x14ac:dyDescent="0.35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6" t="s">
        <v>20</v>
      </c>
      <c r="L232" s="22" t="str">
        <f>IF(F232&gt;=15,"Bulk Order",IF(F232&gt;=5,"Medium Order","Regular Order"))</f>
        <v>Medium Order</v>
      </c>
    </row>
    <row r="233" spans="1:12" ht="18" x14ac:dyDescent="0.35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6" t="s">
        <v>15</v>
      </c>
      <c r="L233" s="22" t="str">
        <f>IF(F233&gt;=15,"Bulk Order",IF(F233&gt;=5,"Medium Order","Regular Order"))</f>
        <v>Regular Order</v>
      </c>
    </row>
    <row r="234" spans="1:12" ht="18" x14ac:dyDescent="0.35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6" t="s">
        <v>24</v>
      </c>
      <c r="L234" s="22" t="str">
        <f>IF(F234&gt;=15,"Bulk Order",IF(F234&gt;=5,"Medium Order","Regular Order"))</f>
        <v>Bulk Order</v>
      </c>
    </row>
    <row r="235" spans="1:12" ht="18" x14ac:dyDescent="0.35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6" t="s">
        <v>51</v>
      </c>
      <c r="L235" s="22" t="str">
        <f>IF(F235&gt;=15,"Bulk Order",IF(F235&gt;=5,"Medium Order","Regular Order"))</f>
        <v>Regular Order</v>
      </c>
    </row>
    <row r="236" spans="1:12" ht="18" x14ac:dyDescent="0.35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6" t="s">
        <v>29</v>
      </c>
      <c r="L236" s="22" t="str">
        <f>IF(F236&gt;=15,"Bulk Order",IF(F236&gt;=5,"Medium Order","Regular Order"))</f>
        <v>Bulk Order</v>
      </c>
    </row>
    <row r="237" spans="1:12" ht="18" x14ac:dyDescent="0.35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6" t="s">
        <v>29</v>
      </c>
      <c r="L237" s="22" t="str">
        <f>IF(F237&gt;=15,"Bulk Order",IF(F237&gt;=5,"Medium Order","Regular Order"))</f>
        <v>Medium Order</v>
      </c>
    </row>
    <row r="238" spans="1:12" ht="18" x14ac:dyDescent="0.35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6" t="s">
        <v>15</v>
      </c>
      <c r="L238" s="22" t="str">
        <f>IF(F238&gt;=15,"Bulk Order",IF(F238&gt;=5,"Medium Order","Regular Order"))</f>
        <v>Medium Order</v>
      </c>
    </row>
    <row r="239" spans="1:12" ht="18" x14ac:dyDescent="0.35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6" t="s">
        <v>51</v>
      </c>
      <c r="L239" s="22" t="str">
        <f>IF(F239&gt;=15,"Bulk Order",IF(F239&gt;=5,"Medium Order","Regular Order"))</f>
        <v>Medium Order</v>
      </c>
    </row>
    <row r="240" spans="1:12" ht="18" x14ac:dyDescent="0.35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6" t="s">
        <v>15</v>
      </c>
      <c r="L240" s="22" t="str">
        <f>IF(F240&gt;=15,"Bulk Order",IF(F240&gt;=5,"Medium Order","Regular Order"))</f>
        <v>Regular Order</v>
      </c>
    </row>
    <row r="241" spans="1:12" ht="18" x14ac:dyDescent="0.35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6" t="s">
        <v>29</v>
      </c>
      <c r="L241" s="22" t="str">
        <f>IF(F241&gt;=15,"Bulk Order",IF(F241&gt;=5,"Medium Order","Regular Order"))</f>
        <v>Regular Order</v>
      </c>
    </row>
    <row r="242" spans="1:12" ht="18" x14ac:dyDescent="0.35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6" t="s">
        <v>15</v>
      </c>
      <c r="L242" s="22" t="str">
        <f>IF(F242&gt;=15,"Bulk Order",IF(F242&gt;=5,"Medium Order","Regular Order"))</f>
        <v>Regular Order</v>
      </c>
    </row>
    <row r="243" spans="1:12" ht="18" x14ac:dyDescent="0.35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6" t="s">
        <v>51</v>
      </c>
      <c r="L243" s="22" t="str">
        <f>IF(F243&gt;=15,"Bulk Order",IF(F243&gt;=5,"Medium Order","Regular Order"))</f>
        <v>Medium Order</v>
      </c>
    </row>
    <row r="244" spans="1:12" ht="18" x14ac:dyDescent="0.35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6" t="s">
        <v>24</v>
      </c>
      <c r="L244" s="22" t="str">
        <f>IF(F244&gt;=15,"Bulk Order",IF(F244&gt;=5,"Medium Order","Regular Order"))</f>
        <v>Medium Order</v>
      </c>
    </row>
    <row r="245" spans="1:12" ht="18" x14ac:dyDescent="0.35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6" t="s">
        <v>15</v>
      </c>
      <c r="L245" s="22" t="str">
        <f>IF(F245&gt;=15,"Bulk Order",IF(F245&gt;=5,"Medium Order","Regular Order"))</f>
        <v>Medium Order</v>
      </c>
    </row>
    <row r="246" spans="1:12" ht="18" x14ac:dyDescent="0.35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6" t="s">
        <v>29</v>
      </c>
      <c r="L246" s="22" t="str">
        <f>IF(F246&gt;=15,"Bulk Order",IF(F246&gt;=5,"Medium Order","Regular Order"))</f>
        <v>Bulk Order</v>
      </c>
    </row>
    <row r="247" spans="1:12" ht="18" x14ac:dyDescent="0.35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6" t="s">
        <v>51</v>
      </c>
      <c r="L247" s="22" t="str">
        <f>IF(F247&gt;=15,"Bulk Order",IF(F247&gt;=5,"Medium Order","Regular Order"))</f>
        <v>Medium Order</v>
      </c>
    </row>
    <row r="248" spans="1:12" ht="18" x14ac:dyDescent="0.35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6" t="s">
        <v>20</v>
      </c>
      <c r="L248" s="22" t="str">
        <f>IF(F248&gt;=15,"Bulk Order",IF(F248&gt;=5,"Medium Order","Regular Order"))</f>
        <v>Medium Order</v>
      </c>
    </row>
    <row r="249" spans="1:12" ht="18" x14ac:dyDescent="0.35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6" t="s">
        <v>29</v>
      </c>
      <c r="L249" s="22" t="str">
        <f>IF(F249&gt;=15,"Bulk Order",IF(F249&gt;=5,"Medium Order","Regular Order"))</f>
        <v>Medium Order</v>
      </c>
    </row>
    <row r="250" spans="1:12" ht="18" x14ac:dyDescent="0.35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6" t="s">
        <v>20</v>
      </c>
      <c r="L250" s="22" t="str">
        <f>IF(F250&gt;=15,"Bulk Order",IF(F250&gt;=5,"Medium Order","Regular Order"))</f>
        <v>Bulk Order</v>
      </c>
    </row>
    <row r="251" spans="1:12" ht="18" x14ac:dyDescent="0.35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6" t="s">
        <v>29</v>
      </c>
      <c r="L251" s="22" t="str">
        <f>IF(F251&gt;=15,"Bulk Order",IF(F251&gt;=5,"Medium Order","Regular Order"))</f>
        <v>Regular Order</v>
      </c>
    </row>
    <row r="252" spans="1:12" ht="18" x14ac:dyDescent="0.35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6" t="s">
        <v>51</v>
      </c>
      <c r="L252" s="22" t="str">
        <f>IF(F252&gt;=15,"Bulk Order",IF(F252&gt;=5,"Medium Order","Regular Order"))</f>
        <v>Bulk Order</v>
      </c>
    </row>
    <row r="253" spans="1:12" ht="18" x14ac:dyDescent="0.35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6" t="s">
        <v>20</v>
      </c>
      <c r="L253" s="22" t="str">
        <f>IF(F253&gt;=15,"Bulk Order",IF(F253&gt;=5,"Medium Order","Regular Order"))</f>
        <v>Bulk Order</v>
      </c>
    </row>
    <row r="254" spans="1:12" ht="18" x14ac:dyDescent="0.35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6" t="s">
        <v>29</v>
      </c>
      <c r="L254" s="22" t="str">
        <f>IF(F254&gt;=15,"Bulk Order",IF(F254&gt;=5,"Medium Order","Regular Order"))</f>
        <v>Bulk Order</v>
      </c>
    </row>
    <row r="255" spans="1:12" ht="18" x14ac:dyDescent="0.35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6" t="s">
        <v>24</v>
      </c>
      <c r="L255" s="22" t="str">
        <f>IF(F255&gt;=15,"Bulk Order",IF(F255&gt;=5,"Medium Order","Regular Order"))</f>
        <v>Bulk Order</v>
      </c>
    </row>
    <row r="256" spans="1:12" ht="18" x14ac:dyDescent="0.35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  <c r="L256" s="22" t="str">
        <f>IF(F256&gt;=15,"Bulk Order",IF(F256&gt;=5,"Medium Order","Regular Order"))</f>
        <v>Regular Order</v>
      </c>
    </row>
    <row r="257" spans="1:12" ht="18" x14ac:dyDescent="0.35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6" t="s">
        <v>15</v>
      </c>
      <c r="L257" s="22" t="str">
        <f>IF(F257&gt;=15,"Bulk Order",IF(F257&gt;=5,"Medium Order","Regular Order"))</f>
        <v>Bulk Order</v>
      </c>
    </row>
    <row r="258" spans="1:12" ht="18" x14ac:dyDescent="0.35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6" t="s">
        <v>15</v>
      </c>
      <c r="L258" s="22" t="str">
        <f>IF(F258&gt;=15,"Bulk Order",IF(F258&gt;=5,"Medium Order","Regular Order"))</f>
        <v>Medium Order</v>
      </c>
    </row>
    <row r="259" spans="1:12" ht="18" x14ac:dyDescent="0.35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6" t="s">
        <v>29</v>
      </c>
      <c r="L259" s="22" t="str">
        <f>IF(F259&gt;=15,"Bulk Order",IF(F259&gt;=5,"Medium Order","Regular Order"))</f>
        <v>Regular Order</v>
      </c>
    </row>
    <row r="260" spans="1:12" ht="18" x14ac:dyDescent="0.35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6" t="s">
        <v>15</v>
      </c>
      <c r="L260" s="22" t="str">
        <f>IF(F260&gt;=15,"Bulk Order",IF(F260&gt;=5,"Medium Order","Regular Order"))</f>
        <v>Medium Order</v>
      </c>
    </row>
    <row r="261" spans="1:12" ht="18" x14ac:dyDescent="0.35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6" t="s">
        <v>29</v>
      </c>
      <c r="L261" s="22" t="str">
        <f>IF(F261&gt;=15,"Bulk Order",IF(F261&gt;=5,"Medium Order","Regular Order"))</f>
        <v>Bulk Order</v>
      </c>
    </row>
    <row r="262" spans="1:12" ht="18" x14ac:dyDescent="0.35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6" t="s">
        <v>51</v>
      </c>
      <c r="L262" s="22" t="str">
        <f>IF(F262&gt;=15,"Bulk Order",IF(F262&gt;=5,"Medium Order","Regular Order"))</f>
        <v>Bulk Order</v>
      </c>
    </row>
    <row r="263" spans="1:12" ht="18" x14ac:dyDescent="0.35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6" t="s">
        <v>15</v>
      </c>
      <c r="L263" s="22" t="str">
        <f>IF(F263&gt;=15,"Bulk Order",IF(F263&gt;=5,"Medium Order","Regular Order"))</f>
        <v>Medium Order</v>
      </c>
    </row>
    <row r="264" spans="1:12" ht="18" x14ac:dyDescent="0.35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6" t="s">
        <v>51</v>
      </c>
      <c r="L264" s="22" t="str">
        <f>IF(F264&gt;=15,"Bulk Order",IF(F264&gt;=5,"Medium Order","Regular Order"))</f>
        <v>Medium Order</v>
      </c>
    </row>
    <row r="265" spans="1:12" ht="18" x14ac:dyDescent="0.35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6" t="s">
        <v>20</v>
      </c>
      <c r="L265" s="22" t="str">
        <f>IF(F265&gt;=15,"Bulk Order",IF(F265&gt;=5,"Medium Order","Regular Order"))</f>
        <v>Bulk Order</v>
      </c>
    </row>
    <row r="266" spans="1:12" ht="18" x14ac:dyDescent="0.35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6" t="s">
        <v>51</v>
      </c>
      <c r="L266" s="22" t="str">
        <f>IF(F266&gt;=15,"Bulk Order",IF(F266&gt;=5,"Medium Order","Regular Order"))</f>
        <v>Regular Order</v>
      </c>
    </row>
    <row r="267" spans="1:12" ht="18" x14ac:dyDescent="0.35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6" t="s">
        <v>51</v>
      </c>
      <c r="L267" s="22" t="str">
        <f>IF(F267&gt;=15,"Bulk Order",IF(F267&gt;=5,"Medium Order","Regular Order"))</f>
        <v>Bulk Order</v>
      </c>
    </row>
    <row r="268" spans="1:12" ht="18" x14ac:dyDescent="0.35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6" t="s">
        <v>20</v>
      </c>
      <c r="L268" s="22" t="str">
        <f>IF(F268&gt;=15,"Bulk Order",IF(F268&gt;=5,"Medium Order","Regular Order"))</f>
        <v>Regular Order</v>
      </c>
    </row>
    <row r="269" spans="1:12" ht="18" x14ac:dyDescent="0.35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6" t="s">
        <v>20</v>
      </c>
      <c r="L269" s="22" t="str">
        <f>IF(F269&gt;=15,"Bulk Order",IF(F269&gt;=5,"Medium Order","Regular Order"))</f>
        <v>Medium Order</v>
      </c>
    </row>
    <row r="270" spans="1:12" ht="18" x14ac:dyDescent="0.35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6" t="s">
        <v>15</v>
      </c>
      <c r="L270" s="22" t="str">
        <f>IF(F270&gt;=15,"Bulk Order",IF(F270&gt;=5,"Medium Order","Regular Order"))</f>
        <v>Medium Order</v>
      </c>
    </row>
    <row r="271" spans="1:12" ht="18" x14ac:dyDescent="0.35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6" t="s">
        <v>51</v>
      </c>
      <c r="L271" s="22" t="str">
        <f>IF(F271&gt;=15,"Bulk Order",IF(F271&gt;=5,"Medium Order","Regular Order"))</f>
        <v>Bulk Order</v>
      </c>
    </row>
    <row r="272" spans="1:12" ht="18" x14ac:dyDescent="0.35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6" t="s">
        <v>29</v>
      </c>
      <c r="L272" s="22" t="str">
        <f>IF(F272&gt;=15,"Bulk Order",IF(F272&gt;=5,"Medium Order","Regular Order"))</f>
        <v>Bulk Order</v>
      </c>
    </row>
    <row r="273" spans="1:12" ht="18" x14ac:dyDescent="0.35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6" t="s">
        <v>20</v>
      </c>
      <c r="L273" s="22" t="str">
        <f>IF(F273&gt;=15,"Bulk Order",IF(F273&gt;=5,"Medium Order","Regular Order"))</f>
        <v>Medium Order</v>
      </c>
    </row>
    <row r="274" spans="1:12" ht="18" x14ac:dyDescent="0.35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6" t="s">
        <v>20</v>
      </c>
      <c r="L274" s="22" t="str">
        <f>IF(F274&gt;=15,"Bulk Order",IF(F274&gt;=5,"Medium Order","Regular Order"))</f>
        <v>Medium Order</v>
      </c>
    </row>
    <row r="275" spans="1:12" ht="18" x14ac:dyDescent="0.35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6" t="s">
        <v>20</v>
      </c>
      <c r="L275" s="22" t="str">
        <f>IF(F275&gt;=15,"Bulk Order",IF(F275&gt;=5,"Medium Order","Regular Order"))</f>
        <v>Medium Order</v>
      </c>
    </row>
    <row r="276" spans="1:12" ht="18" x14ac:dyDescent="0.35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6" t="s">
        <v>20</v>
      </c>
      <c r="L276" s="22" t="str">
        <f>IF(F276&gt;=15,"Bulk Order",IF(F276&gt;=5,"Medium Order","Regular Order"))</f>
        <v>Bulk Order</v>
      </c>
    </row>
    <row r="277" spans="1:12" ht="18" x14ac:dyDescent="0.35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6" t="s">
        <v>24</v>
      </c>
      <c r="L277" s="22" t="str">
        <f>IF(F277&gt;=15,"Bulk Order",IF(F277&gt;=5,"Medium Order","Regular Order"))</f>
        <v>Regular Order</v>
      </c>
    </row>
    <row r="278" spans="1:12" ht="18" x14ac:dyDescent="0.35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6" t="s">
        <v>15</v>
      </c>
      <c r="L278" s="22" t="str">
        <f>IF(F278&gt;=15,"Bulk Order",IF(F278&gt;=5,"Medium Order","Regular Order"))</f>
        <v>Medium Order</v>
      </c>
    </row>
    <row r="279" spans="1:12" ht="18" x14ac:dyDescent="0.35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6" t="s">
        <v>20</v>
      </c>
      <c r="L279" s="22" t="str">
        <f>IF(F279&gt;=15,"Bulk Order",IF(F279&gt;=5,"Medium Order","Regular Order"))</f>
        <v>Regular Order</v>
      </c>
    </row>
    <row r="280" spans="1:12" ht="18" x14ac:dyDescent="0.35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6" t="s">
        <v>15</v>
      </c>
      <c r="L280" s="22" t="str">
        <f>IF(F280&gt;=15,"Bulk Order",IF(F280&gt;=5,"Medium Order","Regular Order"))</f>
        <v>Bulk Order</v>
      </c>
    </row>
    <row r="281" spans="1:12" ht="18" x14ac:dyDescent="0.35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6" t="s">
        <v>51</v>
      </c>
      <c r="L281" s="22" t="str">
        <f>IF(F281&gt;=15,"Bulk Order",IF(F281&gt;=5,"Medium Order","Regular Order"))</f>
        <v>Medium Order</v>
      </c>
    </row>
    <row r="282" spans="1:12" ht="18" x14ac:dyDescent="0.35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6" t="s">
        <v>24</v>
      </c>
      <c r="L282" s="22" t="str">
        <f>IF(F282&gt;=15,"Bulk Order",IF(F282&gt;=5,"Medium Order","Regular Order"))</f>
        <v>Medium Order</v>
      </c>
    </row>
    <row r="283" spans="1:12" ht="18" x14ac:dyDescent="0.35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6" t="s">
        <v>29</v>
      </c>
      <c r="L283" s="22" t="str">
        <f>IF(F283&gt;=15,"Bulk Order",IF(F283&gt;=5,"Medium Order","Regular Order"))</f>
        <v>Medium Order</v>
      </c>
    </row>
    <row r="284" spans="1:12" ht="18" x14ac:dyDescent="0.35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6" t="s">
        <v>15</v>
      </c>
      <c r="L284" s="22" t="str">
        <f>IF(F284&gt;=15,"Bulk Order",IF(F284&gt;=5,"Medium Order","Regular Order"))</f>
        <v>Medium Order</v>
      </c>
    </row>
    <row r="285" spans="1:12" ht="18" x14ac:dyDescent="0.35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6" t="s">
        <v>15</v>
      </c>
      <c r="L285" s="22" t="str">
        <f>IF(F285&gt;=15,"Bulk Order",IF(F285&gt;=5,"Medium Order","Regular Order"))</f>
        <v>Bulk Order</v>
      </c>
    </row>
    <row r="286" spans="1:12" ht="18" x14ac:dyDescent="0.35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6" t="s">
        <v>20</v>
      </c>
      <c r="L286" s="22" t="str">
        <f>IF(F286&gt;=15,"Bulk Order",IF(F286&gt;=5,"Medium Order","Regular Order"))</f>
        <v>Medium Order</v>
      </c>
    </row>
    <row r="287" spans="1:12" ht="18" x14ac:dyDescent="0.35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6" t="s">
        <v>15</v>
      </c>
      <c r="L287" s="22" t="str">
        <f>IF(F287&gt;=15,"Bulk Order",IF(F287&gt;=5,"Medium Order","Regular Order"))</f>
        <v>Medium Order</v>
      </c>
    </row>
    <row r="288" spans="1:12" ht="18" x14ac:dyDescent="0.35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6" t="s">
        <v>51</v>
      </c>
      <c r="L288" s="22" t="str">
        <f>IF(F288&gt;=15,"Bulk Order",IF(F288&gt;=5,"Medium Order","Regular Order"))</f>
        <v>Bulk Order</v>
      </c>
    </row>
    <row r="289" spans="1:12" ht="18" x14ac:dyDescent="0.35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6" t="s">
        <v>29</v>
      </c>
      <c r="L289" s="22" t="str">
        <f>IF(F289&gt;=15,"Bulk Order",IF(F289&gt;=5,"Medium Order","Regular Order"))</f>
        <v>Medium Order</v>
      </c>
    </row>
    <row r="290" spans="1:12" ht="18" x14ac:dyDescent="0.35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6" t="s">
        <v>24</v>
      </c>
      <c r="L290" s="22" t="str">
        <f>IF(F290&gt;=15,"Bulk Order",IF(F290&gt;=5,"Medium Order","Regular Order"))</f>
        <v>Bulk Order</v>
      </c>
    </row>
    <row r="291" spans="1:12" ht="18" x14ac:dyDescent="0.35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6" t="s">
        <v>29</v>
      </c>
      <c r="L291" s="22" t="str">
        <f>IF(F291&gt;=15,"Bulk Order",IF(F291&gt;=5,"Medium Order","Regular Order"))</f>
        <v>Regular Order</v>
      </c>
    </row>
    <row r="292" spans="1:12" ht="18" x14ac:dyDescent="0.35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6" t="s">
        <v>20</v>
      </c>
      <c r="L292" s="22" t="str">
        <f>IF(F292&gt;=15,"Bulk Order",IF(F292&gt;=5,"Medium Order","Regular Order"))</f>
        <v>Bulk Order</v>
      </c>
    </row>
    <row r="293" spans="1:12" ht="18" x14ac:dyDescent="0.35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6" t="s">
        <v>20</v>
      </c>
      <c r="L293" s="22" t="str">
        <f>IF(F293&gt;=15,"Bulk Order",IF(F293&gt;=5,"Medium Order","Regular Order"))</f>
        <v>Medium Order</v>
      </c>
    </row>
    <row r="294" spans="1:12" ht="18" x14ac:dyDescent="0.35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6" t="s">
        <v>20</v>
      </c>
      <c r="L294" s="22" t="str">
        <f>IF(F294&gt;=15,"Bulk Order",IF(F294&gt;=5,"Medium Order","Regular Order"))</f>
        <v>Medium Order</v>
      </c>
    </row>
    <row r="295" spans="1:12" ht="18" x14ac:dyDescent="0.35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6" t="s">
        <v>15</v>
      </c>
      <c r="L295" s="22" t="str">
        <f>IF(F295&gt;=15,"Bulk Order",IF(F295&gt;=5,"Medium Order","Regular Order"))</f>
        <v>Medium Order</v>
      </c>
    </row>
    <row r="296" spans="1:12" ht="18" x14ac:dyDescent="0.35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6" t="s">
        <v>15</v>
      </c>
      <c r="L296" s="22" t="str">
        <f>IF(F296&gt;=15,"Bulk Order",IF(F296&gt;=5,"Medium Order","Regular Order"))</f>
        <v>Bulk Order</v>
      </c>
    </row>
    <row r="297" spans="1:12" ht="18" x14ac:dyDescent="0.35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6" t="s">
        <v>51</v>
      </c>
      <c r="L297" s="22" t="str">
        <f>IF(F297&gt;=15,"Bulk Order",IF(F297&gt;=5,"Medium Order","Regular Order"))</f>
        <v>Medium Order</v>
      </c>
    </row>
    <row r="298" spans="1:12" ht="18" x14ac:dyDescent="0.35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6" t="s">
        <v>29</v>
      </c>
      <c r="L298" s="22" t="str">
        <f>IF(F298&gt;=15,"Bulk Order",IF(F298&gt;=5,"Medium Order","Regular Order"))</f>
        <v>Medium Order</v>
      </c>
    </row>
    <row r="299" spans="1:12" ht="18" x14ac:dyDescent="0.35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6" t="s">
        <v>24</v>
      </c>
      <c r="L299" s="22" t="str">
        <f>IF(F299&gt;=15,"Bulk Order",IF(F299&gt;=5,"Medium Order","Regular Order"))</f>
        <v>Bulk Order</v>
      </c>
    </row>
    <row r="300" spans="1:12" ht="18" x14ac:dyDescent="0.35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6" t="s">
        <v>15</v>
      </c>
      <c r="L300" s="22" t="str">
        <f>IF(F300&gt;=15,"Bulk Order",IF(F300&gt;=5,"Medium Order","Regular Order"))</f>
        <v>Medium Order</v>
      </c>
    </row>
    <row r="301" spans="1:12" ht="18" x14ac:dyDescent="0.35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6" t="s">
        <v>24</v>
      </c>
      <c r="L301" s="22" t="str">
        <f>IF(F301&gt;=15,"Bulk Order",IF(F301&gt;=5,"Medium Order","Regular Order"))</f>
        <v>Bulk Order</v>
      </c>
    </row>
    <row r="302" spans="1:12" ht="18" x14ac:dyDescent="0.35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6" t="s">
        <v>24</v>
      </c>
      <c r="L302" s="22" t="str">
        <f>IF(F302&gt;=15,"Bulk Order",IF(F302&gt;=5,"Medium Order","Regular Order"))</f>
        <v>Regular Order</v>
      </c>
    </row>
    <row r="303" spans="1:12" ht="18" x14ac:dyDescent="0.35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6" t="s">
        <v>24</v>
      </c>
      <c r="L303" s="22" t="str">
        <f>IF(F303&gt;=15,"Bulk Order",IF(F303&gt;=5,"Medium Order","Regular Order"))</f>
        <v>Medium Order</v>
      </c>
    </row>
    <row r="304" spans="1:12" ht="18" x14ac:dyDescent="0.35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6" t="s">
        <v>15</v>
      </c>
      <c r="L304" s="22" t="str">
        <f>IF(F304&gt;=15,"Bulk Order",IF(F304&gt;=5,"Medium Order","Regular Order"))</f>
        <v>Medium Order</v>
      </c>
    </row>
    <row r="305" spans="1:12" ht="18" x14ac:dyDescent="0.35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6" t="s">
        <v>51</v>
      </c>
      <c r="L305" s="22" t="str">
        <f>IF(F305&gt;=15,"Bulk Order",IF(F305&gt;=5,"Medium Order","Regular Order"))</f>
        <v>Bulk Order</v>
      </c>
    </row>
    <row r="306" spans="1:12" ht="18" x14ac:dyDescent="0.35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6" t="s">
        <v>51</v>
      </c>
      <c r="L306" s="22" t="str">
        <f>IF(F306&gt;=15,"Bulk Order",IF(F306&gt;=5,"Medium Order","Regular Order"))</f>
        <v>Bulk Order</v>
      </c>
    </row>
    <row r="307" spans="1:12" ht="18" x14ac:dyDescent="0.35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6" t="s">
        <v>20</v>
      </c>
      <c r="L307" s="22" t="str">
        <f>IF(F307&gt;=15,"Bulk Order",IF(F307&gt;=5,"Medium Order","Regular Order"))</f>
        <v>Regular Order</v>
      </c>
    </row>
    <row r="308" spans="1:12" ht="18" x14ac:dyDescent="0.35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6" t="s">
        <v>51</v>
      </c>
      <c r="L308" s="22" t="str">
        <f>IF(F308&gt;=15,"Bulk Order",IF(F308&gt;=5,"Medium Order","Regular Order"))</f>
        <v>Bulk Order</v>
      </c>
    </row>
    <row r="309" spans="1:12" ht="18" x14ac:dyDescent="0.35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6" t="s">
        <v>20</v>
      </c>
      <c r="L309" s="22" t="str">
        <f>IF(F309&gt;=15,"Bulk Order",IF(F309&gt;=5,"Medium Order","Regular Order"))</f>
        <v>Medium Order</v>
      </c>
    </row>
    <row r="310" spans="1:12" ht="18" x14ac:dyDescent="0.35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6" t="s">
        <v>24</v>
      </c>
      <c r="L310" s="22" t="str">
        <f>IF(F310&gt;=15,"Bulk Order",IF(F310&gt;=5,"Medium Order","Regular Order"))</f>
        <v>Regular Order</v>
      </c>
    </row>
    <row r="311" spans="1:12" ht="18" x14ac:dyDescent="0.35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6" t="s">
        <v>29</v>
      </c>
      <c r="L311" s="22" t="str">
        <f>IF(F311&gt;=15,"Bulk Order",IF(F311&gt;=5,"Medium Order","Regular Order"))</f>
        <v>Bulk Order</v>
      </c>
    </row>
    <row r="312" spans="1:12" ht="18" x14ac:dyDescent="0.35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6" t="s">
        <v>20</v>
      </c>
      <c r="L312" s="22" t="str">
        <f>IF(F312&gt;=15,"Bulk Order",IF(F312&gt;=5,"Medium Order","Regular Order"))</f>
        <v>Regular Order</v>
      </c>
    </row>
    <row r="313" spans="1:12" ht="18" x14ac:dyDescent="0.35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6" t="s">
        <v>24</v>
      </c>
      <c r="L313" s="22" t="str">
        <f>IF(F313&gt;=15,"Bulk Order",IF(F313&gt;=5,"Medium Order","Regular Order"))</f>
        <v>Bulk Order</v>
      </c>
    </row>
    <row r="314" spans="1:12" ht="18" x14ac:dyDescent="0.35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6" t="s">
        <v>15</v>
      </c>
      <c r="L314" s="22" t="str">
        <f>IF(F314&gt;=15,"Bulk Order",IF(F314&gt;=5,"Medium Order","Regular Order"))</f>
        <v>Medium Order</v>
      </c>
    </row>
    <row r="315" spans="1:12" ht="18" x14ac:dyDescent="0.35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6" t="s">
        <v>29</v>
      </c>
      <c r="L315" s="22" t="str">
        <f>IF(F315&gt;=15,"Bulk Order",IF(F315&gt;=5,"Medium Order","Regular Order"))</f>
        <v>Medium Order</v>
      </c>
    </row>
    <row r="316" spans="1:12" ht="18" x14ac:dyDescent="0.35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6" t="s">
        <v>15</v>
      </c>
      <c r="L316" s="22" t="str">
        <f>IF(F316&gt;=15,"Bulk Order",IF(F316&gt;=5,"Medium Order","Regular Order"))</f>
        <v>Medium Order</v>
      </c>
    </row>
    <row r="317" spans="1:12" ht="18" x14ac:dyDescent="0.35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6" t="s">
        <v>20</v>
      </c>
      <c r="L317" s="22" t="str">
        <f>IF(F317&gt;=15,"Bulk Order",IF(F317&gt;=5,"Medium Order","Regular Order"))</f>
        <v>Medium Order</v>
      </c>
    </row>
    <row r="318" spans="1:12" ht="18" x14ac:dyDescent="0.35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6" t="s">
        <v>51</v>
      </c>
      <c r="L318" s="22" t="str">
        <f>IF(F318&gt;=15,"Bulk Order",IF(F318&gt;=5,"Medium Order","Regular Order"))</f>
        <v>Medium Order</v>
      </c>
    </row>
    <row r="319" spans="1:12" ht="18" x14ac:dyDescent="0.35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6" t="s">
        <v>29</v>
      </c>
      <c r="L319" s="22" t="str">
        <f>IF(F319&gt;=15,"Bulk Order",IF(F319&gt;=5,"Medium Order","Regular Order"))</f>
        <v>Regular Order</v>
      </c>
    </row>
    <row r="320" spans="1:12" ht="18" x14ac:dyDescent="0.35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6" t="s">
        <v>15</v>
      </c>
      <c r="L320" s="22" t="str">
        <f>IF(F320&gt;=15,"Bulk Order",IF(F320&gt;=5,"Medium Order","Regular Order"))</f>
        <v>Bulk Order</v>
      </c>
    </row>
    <row r="321" spans="1:12" ht="18" x14ac:dyDescent="0.35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6" t="s">
        <v>20</v>
      </c>
      <c r="L321" s="22" t="str">
        <f>IF(F321&gt;=15,"Bulk Order",IF(F321&gt;=5,"Medium Order","Regular Order"))</f>
        <v>Bulk Order</v>
      </c>
    </row>
    <row r="322" spans="1:12" ht="18" x14ac:dyDescent="0.35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6" t="s">
        <v>51</v>
      </c>
      <c r="L322" s="22" t="str">
        <f>IF(F322&gt;=15,"Bulk Order",IF(F322&gt;=5,"Medium Order","Regular Order"))</f>
        <v>Medium Order</v>
      </c>
    </row>
    <row r="323" spans="1:12" ht="18" x14ac:dyDescent="0.35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6" t="s">
        <v>15</v>
      </c>
      <c r="L323" s="22" t="str">
        <f>IF(F323&gt;=15,"Bulk Order",IF(F323&gt;=5,"Medium Order","Regular Order"))</f>
        <v>Medium Order</v>
      </c>
    </row>
    <row r="324" spans="1:12" ht="18" x14ac:dyDescent="0.35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6" t="s">
        <v>15</v>
      </c>
      <c r="L324" s="22" t="str">
        <f>IF(F324&gt;=15,"Bulk Order",IF(F324&gt;=5,"Medium Order","Regular Order"))</f>
        <v>Regular Order</v>
      </c>
    </row>
    <row r="325" spans="1:12" ht="18" x14ac:dyDescent="0.35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6" t="s">
        <v>20</v>
      </c>
      <c r="L325" s="22" t="str">
        <f>IF(F325&gt;=15,"Bulk Order",IF(F325&gt;=5,"Medium Order","Regular Order"))</f>
        <v>Regular Order</v>
      </c>
    </row>
    <row r="326" spans="1:12" ht="18" x14ac:dyDescent="0.35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6" t="s">
        <v>20</v>
      </c>
      <c r="L326" s="22" t="str">
        <f>IF(F326&gt;=15,"Bulk Order",IF(F326&gt;=5,"Medium Order","Regular Order"))</f>
        <v>Medium Order</v>
      </c>
    </row>
    <row r="327" spans="1:12" ht="18" x14ac:dyDescent="0.35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6" t="s">
        <v>15</v>
      </c>
      <c r="L327" s="22" t="str">
        <f>IF(F327&gt;=15,"Bulk Order",IF(F327&gt;=5,"Medium Order","Regular Order"))</f>
        <v>Bulk Order</v>
      </c>
    </row>
    <row r="328" spans="1:12" ht="18" x14ac:dyDescent="0.35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6" t="s">
        <v>15</v>
      </c>
      <c r="L328" s="22" t="str">
        <f>IF(F328&gt;=15,"Bulk Order",IF(F328&gt;=5,"Medium Order","Regular Order"))</f>
        <v>Bulk Order</v>
      </c>
    </row>
    <row r="329" spans="1:12" ht="18" x14ac:dyDescent="0.35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6" t="s">
        <v>29</v>
      </c>
      <c r="L329" s="22" t="str">
        <f>IF(F329&gt;=15,"Bulk Order",IF(F329&gt;=5,"Medium Order","Regular Order"))</f>
        <v>Regular Order</v>
      </c>
    </row>
    <row r="330" spans="1:12" ht="18" x14ac:dyDescent="0.35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6" t="s">
        <v>29</v>
      </c>
      <c r="L330" s="22" t="str">
        <f>IF(F330&gt;=15,"Bulk Order",IF(F330&gt;=5,"Medium Order","Regular Order"))</f>
        <v>Bulk Order</v>
      </c>
    </row>
    <row r="331" spans="1:12" ht="18" x14ac:dyDescent="0.35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6" t="s">
        <v>51</v>
      </c>
      <c r="L331" s="22" t="str">
        <f>IF(F331&gt;=15,"Bulk Order",IF(F331&gt;=5,"Medium Order","Regular Order"))</f>
        <v>Medium Order</v>
      </c>
    </row>
    <row r="332" spans="1:12" ht="18" x14ac:dyDescent="0.35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6" t="s">
        <v>15</v>
      </c>
      <c r="L332" s="22" t="str">
        <f>IF(F332&gt;=15,"Bulk Order",IF(F332&gt;=5,"Medium Order","Regular Order"))</f>
        <v>Regular Order</v>
      </c>
    </row>
    <row r="333" spans="1:12" ht="18" x14ac:dyDescent="0.35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6" t="s">
        <v>15</v>
      </c>
      <c r="L333" s="22" t="str">
        <f>IF(F333&gt;=15,"Bulk Order",IF(F333&gt;=5,"Medium Order","Regular Order"))</f>
        <v>Medium Order</v>
      </c>
    </row>
    <row r="334" spans="1:12" ht="18" x14ac:dyDescent="0.35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6" t="s">
        <v>51</v>
      </c>
      <c r="L334" s="22" t="str">
        <f>IF(F334&gt;=15,"Bulk Order",IF(F334&gt;=5,"Medium Order","Regular Order"))</f>
        <v>Bulk Order</v>
      </c>
    </row>
    <row r="335" spans="1:12" ht="18" x14ac:dyDescent="0.35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6" t="s">
        <v>51</v>
      </c>
      <c r="L335" s="22" t="str">
        <f>IF(F335&gt;=15,"Bulk Order",IF(F335&gt;=5,"Medium Order","Regular Order"))</f>
        <v>Bulk Order</v>
      </c>
    </row>
    <row r="336" spans="1:12" ht="18" x14ac:dyDescent="0.35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6" t="s">
        <v>15</v>
      </c>
      <c r="L336" s="22" t="str">
        <f>IF(F336&gt;=15,"Bulk Order",IF(F336&gt;=5,"Medium Order","Regular Order"))</f>
        <v>Medium Order</v>
      </c>
    </row>
    <row r="337" spans="1:12" ht="18" x14ac:dyDescent="0.35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6" t="s">
        <v>29</v>
      </c>
      <c r="L337" s="22" t="str">
        <f>IF(F337&gt;=15,"Bulk Order",IF(F337&gt;=5,"Medium Order","Regular Order"))</f>
        <v>Medium Order</v>
      </c>
    </row>
    <row r="338" spans="1:12" ht="18" x14ac:dyDescent="0.35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6" t="s">
        <v>29</v>
      </c>
      <c r="L338" s="22" t="str">
        <f>IF(F338&gt;=15,"Bulk Order",IF(F338&gt;=5,"Medium Order","Regular Order"))</f>
        <v>Medium Order</v>
      </c>
    </row>
    <row r="339" spans="1:12" ht="18" x14ac:dyDescent="0.35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6" t="s">
        <v>15</v>
      </c>
      <c r="L339" s="22" t="str">
        <f>IF(F339&gt;=15,"Bulk Order",IF(F339&gt;=5,"Medium Order","Regular Order"))</f>
        <v>Medium Order</v>
      </c>
    </row>
    <row r="340" spans="1:12" ht="18" x14ac:dyDescent="0.35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6" t="s">
        <v>20</v>
      </c>
      <c r="L340" s="22" t="str">
        <f>IF(F340&gt;=15,"Bulk Order",IF(F340&gt;=5,"Medium Order","Regular Order"))</f>
        <v>Medium Order</v>
      </c>
    </row>
    <row r="341" spans="1:12" ht="18" x14ac:dyDescent="0.35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6" t="s">
        <v>51</v>
      </c>
      <c r="L341" s="22" t="str">
        <f>IF(F341&gt;=15,"Bulk Order",IF(F341&gt;=5,"Medium Order","Regular Order"))</f>
        <v>Medium Order</v>
      </c>
    </row>
    <row r="342" spans="1:12" ht="18" x14ac:dyDescent="0.35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6" t="s">
        <v>20</v>
      </c>
      <c r="L342" s="22" t="str">
        <f>IF(F342&gt;=15,"Bulk Order",IF(F342&gt;=5,"Medium Order","Regular Order"))</f>
        <v>Bulk Order</v>
      </c>
    </row>
    <row r="343" spans="1:12" ht="18" x14ac:dyDescent="0.35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6" t="s">
        <v>29</v>
      </c>
      <c r="L343" s="22" t="str">
        <f>IF(F343&gt;=15,"Bulk Order",IF(F343&gt;=5,"Medium Order","Regular Order"))</f>
        <v>Medium Order</v>
      </c>
    </row>
    <row r="344" spans="1:12" ht="18" x14ac:dyDescent="0.35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6" t="s">
        <v>15</v>
      </c>
      <c r="L344" s="22" t="str">
        <f>IF(F344&gt;=15,"Bulk Order",IF(F344&gt;=5,"Medium Order","Regular Order"))</f>
        <v>Medium Order</v>
      </c>
    </row>
    <row r="345" spans="1:12" ht="18" x14ac:dyDescent="0.35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  <c r="L345" s="22" t="str">
        <f>IF(F345&gt;=15,"Bulk Order",IF(F345&gt;=5,"Medium Order","Regular Order"))</f>
        <v>Bulk Order</v>
      </c>
    </row>
    <row r="346" spans="1:12" ht="18" x14ac:dyDescent="0.35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6" t="s">
        <v>29</v>
      </c>
      <c r="L346" s="22" t="str">
        <f>IF(F346&gt;=15,"Bulk Order",IF(F346&gt;=5,"Medium Order","Regular Order"))</f>
        <v>Medium Order</v>
      </c>
    </row>
    <row r="347" spans="1:12" ht="18" x14ac:dyDescent="0.35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6" t="s">
        <v>29</v>
      </c>
      <c r="L347" s="22" t="str">
        <f>IF(F347&gt;=15,"Bulk Order",IF(F347&gt;=5,"Medium Order","Regular Order"))</f>
        <v>Bulk Order</v>
      </c>
    </row>
    <row r="348" spans="1:12" ht="18" x14ac:dyDescent="0.35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6" t="s">
        <v>24</v>
      </c>
      <c r="L348" s="22" t="str">
        <f>IF(F348&gt;=15,"Bulk Order",IF(F348&gt;=5,"Medium Order","Regular Order"))</f>
        <v>Bulk Order</v>
      </c>
    </row>
    <row r="349" spans="1:12" ht="18" x14ac:dyDescent="0.35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6" t="s">
        <v>15</v>
      </c>
      <c r="L349" s="22" t="str">
        <f>IF(F349&gt;=15,"Bulk Order",IF(F349&gt;=5,"Medium Order","Regular Order"))</f>
        <v>Medium Order</v>
      </c>
    </row>
    <row r="350" spans="1:12" ht="18" x14ac:dyDescent="0.35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6" t="s">
        <v>20</v>
      </c>
      <c r="L350" s="22" t="str">
        <f>IF(F350&gt;=15,"Bulk Order",IF(F350&gt;=5,"Medium Order","Regular Order"))</f>
        <v>Bulk Order</v>
      </c>
    </row>
    <row r="351" spans="1:12" ht="18" x14ac:dyDescent="0.35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6" t="s">
        <v>29</v>
      </c>
      <c r="L351" s="22" t="str">
        <f>IF(F351&gt;=15,"Bulk Order",IF(F351&gt;=5,"Medium Order","Regular Order"))</f>
        <v>Bulk Order</v>
      </c>
    </row>
    <row r="352" spans="1:12" ht="18" x14ac:dyDescent="0.35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6" t="s">
        <v>15</v>
      </c>
      <c r="L352" s="22" t="str">
        <f>IF(F352&gt;=15,"Bulk Order",IF(F352&gt;=5,"Medium Order","Regular Order"))</f>
        <v>Medium Order</v>
      </c>
    </row>
    <row r="353" spans="1:12" ht="18" x14ac:dyDescent="0.35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6" t="s">
        <v>15</v>
      </c>
      <c r="L353" s="22" t="str">
        <f>IF(F353&gt;=15,"Bulk Order",IF(F353&gt;=5,"Medium Order","Regular Order"))</f>
        <v>Medium Order</v>
      </c>
    </row>
    <row r="354" spans="1:12" ht="18" x14ac:dyDescent="0.35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6" t="s">
        <v>24</v>
      </c>
      <c r="L354" s="22" t="str">
        <f>IF(F354&gt;=15,"Bulk Order",IF(F354&gt;=5,"Medium Order","Regular Order"))</f>
        <v>Medium Order</v>
      </c>
    </row>
    <row r="355" spans="1:12" ht="18" x14ac:dyDescent="0.35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6" t="s">
        <v>51</v>
      </c>
      <c r="L355" s="22" t="str">
        <f>IF(F355&gt;=15,"Bulk Order",IF(F355&gt;=5,"Medium Order","Regular Order"))</f>
        <v>Bulk Order</v>
      </c>
    </row>
    <row r="356" spans="1:12" ht="18" x14ac:dyDescent="0.35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6" t="s">
        <v>51</v>
      </c>
      <c r="L356" s="22" t="str">
        <f>IF(F356&gt;=15,"Bulk Order",IF(F356&gt;=5,"Medium Order","Regular Order"))</f>
        <v>Bulk Order</v>
      </c>
    </row>
    <row r="357" spans="1:12" ht="18" x14ac:dyDescent="0.35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6" t="s">
        <v>15</v>
      </c>
      <c r="L357" s="22" t="str">
        <f>IF(F357&gt;=15,"Bulk Order",IF(F357&gt;=5,"Medium Order","Regular Order"))</f>
        <v>Bulk Order</v>
      </c>
    </row>
    <row r="358" spans="1:12" ht="18" x14ac:dyDescent="0.35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6" t="s">
        <v>51</v>
      </c>
      <c r="L358" s="22" t="str">
        <f>IF(F358&gt;=15,"Bulk Order",IF(F358&gt;=5,"Medium Order","Regular Order"))</f>
        <v>Medium Order</v>
      </c>
    </row>
    <row r="359" spans="1:12" ht="18" x14ac:dyDescent="0.35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6" t="s">
        <v>20</v>
      </c>
      <c r="L359" s="22" t="str">
        <f>IF(F359&gt;=15,"Bulk Order",IF(F359&gt;=5,"Medium Order","Regular Order"))</f>
        <v>Medium Order</v>
      </c>
    </row>
    <row r="360" spans="1:12" ht="18" x14ac:dyDescent="0.35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6" t="s">
        <v>15</v>
      </c>
      <c r="L360" s="22" t="str">
        <f>IF(F360&gt;=15,"Bulk Order",IF(F360&gt;=5,"Medium Order","Regular Order"))</f>
        <v>Medium Order</v>
      </c>
    </row>
    <row r="361" spans="1:12" ht="18" x14ac:dyDescent="0.35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6" t="s">
        <v>15</v>
      </c>
      <c r="L361" s="22" t="str">
        <f>IF(F361&gt;=15,"Bulk Order",IF(F361&gt;=5,"Medium Order","Regular Order"))</f>
        <v>Bulk Order</v>
      </c>
    </row>
    <row r="362" spans="1:12" ht="18" x14ac:dyDescent="0.35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6" t="s">
        <v>20</v>
      </c>
      <c r="L362" s="22" t="str">
        <f>IF(F362&gt;=15,"Bulk Order",IF(F362&gt;=5,"Medium Order","Regular Order"))</f>
        <v>Regular Order</v>
      </c>
    </row>
    <row r="363" spans="1:12" ht="18" x14ac:dyDescent="0.35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6" t="s">
        <v>29</v>
      </c>
      <c r="L363" s="22" t="str">
        <f>IF(F363&gt;=15,"Bulk Order",IF(F363&gt;=5,"Medium Order","Regular Order"))</f>
        <v>Regular Order</v>
      </c>
    </row>
    <row r="364" spans="1:12" ht="18" x14ac:dyDescent="0.35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6" t="s">
        <v>15</v>
      </c>
      <c r="L364" s="22" t="str">
        <f>IF(F364&gt;=15,"Bulk Order",IF(F364&gt;=5,"Medium Order","Regular Order"))</f>
        <v>Medium Order</v>
      </c>
    </row>
    <row r="365" spans="1:12" ht="18" x14ac:dyDescent="0.35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6" t="s">
        <v>51</v>
      </c>
      <c r="L365" s="22" t="str">
        <f>IF(F365&gt;=15,"Bulk Order",IF(F365&gt;=5,"Medium Order","Regular Order"))</f>
        <v>Bulk Order</v>
      </c>
    </row>
    <row r="366" spans="1:12" ht="18" x14ac:dyDescent="0.35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6" t="s">
        <v>20</v>
      </c>
      <c r="L366" s="22" t="str">
        <f>IF(F366&gt;=15,"Bulk Order",IF(F366&gt;=5,"Medium Order","Regular Order"))</f>
        <v>Bulk Order</v>
      </c>
    </row>
    <row r="367" spans="1:12" ht="18" x14ac:dyDescent="0.35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6" t="s">
        <v>29</v>
      </c>
      <c r="L367" s="22" t="str">
        <f>IF(F367&gt;=15,"Bulk Order",IF(F367&gt;=5,"Medium Order","Regular Order"))</f>
        <v>Bulk Order</v>
      </c>
    </row>
    <row r="368" spans="1:12" ht="18" x14ac:dyDescent="0.35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6" t="s">
        <v>29</v>
      </c>
      <c r="L368" s="22" t="str">
        <f>IF(F368&gt;=15,"Bulk Order",IF(F368&gt;=5,"Medium Order","Regular Order"))</f>
        <v>Regular Order</v>
      </c>
    </row>
    <row r="369" spans="1:12" ht="18" x14ac:dyDescent="0.35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6" t="s">
        <v>24</v>
      </c>
      <c r="L369" s="22" t="str">
        <f>IF(F369&gt;=15,"Bulk Order",IF(F369&gt;=5,"Medium Order","Regular Order"))</f>
        <v>Medium Order</v>
      </c>
    </row>
    <row r="370" spans="1:12" ht="18" x14ac:dyDescent="0.35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6" t="s">
        <v>15</v>
      </c>
      <c r="L370" s="22" t="str">
        <f>IF(F370&gt;=15,"Bulk Order",IF(F370&gt;=5,"Medium Order","Regular Order"))</f>
        <v>Bulk Order</v>
      </c>
    </row>
    <row r="371" spans="1:12" ht="18" x14ac:dyDescent="0.35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6" t="s">
        <v>15</v>
      </c>
      <c r="L371" s="22" t="str">
        <f>IF(F371&gt;=15,"Bulk Order",IF(F371&gt;=5,"Medium Order","Regular Order"))</f>
        <v>Medium Order</v>
      </c>
    </row>
    <row r="372" spans="1:12" ht="18" x14ac:dyDescent="0.35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6" t="s">
        <v>20</v>
      </c>
      <c r="L372" s="22" t="str">
        <f>IF(F372&gt;=15,"Bulk Order",IF(F372&gt;=5,"Medium Order","Regular Order"))</f>
        <v>Bulk Order</v>
      </c>
    </row>
    <row r="373" spans="1:12" ht="18" x14ac:dyDescent="0.35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6" t="s">
        <v>15</v>
      </c>
      <c r="L373" s="22" t="str">
        <f>IF(F373&gt;=15,"Bulk Order",IF(F373&gt;=5,"Medium Order","Regular Order"))</f>
        <v>Medium Order</v>
      </c>
    </row>
    <row r="374" spans="1:12" ht="18" x14ac:dyDescent="0.35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6" t="s">
        <v>20</v>
      </c>
      <c r="L374" s="22" t="str">
        <f>IF(F374&gt;=15,"Bulk Order",IF(F374&gt;=5,"Medium Order","Regular Order"))</f>
        <v>Medium Order</v>
      </c>
    </row>
    <row r="375" spans="1:12" ht="18" x14ac:dyDescent="0.35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6" t="s">
        <v>51</v>
      </c>
      <c r="L375" s="22" t="str">
        <f>IF(F375&gt;=15,"Bulk Order",IF(F375&gt;=5,"Medium Order","Regular Order"))</f>
        <v>Medium Order</v>
      </c>
    </row>
    <row r="376" spans="1:12" ht="18" x14ac:dyDescent="0.35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6" t="s">
        <v>24</v>
      </c>
      <c r="L376" s="22" t="str">
        <f>IF(F376&gt;=15,"Bulk Order",IF(F376&gt;=5,"Medium Order","Regular Order"))</f>
        <v>Bulk Order</v>
      </c>
    </row>
    <row r="377" spans="1:12" ht="18" x14ac:dyDescent="0.35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6" t="s">
        <v>20</v>
      </c>
      <c r="L377" s="22" t="str">
        <f>IF(F377&gt;=15,"Bulk Order",IF(F377&gt;=5,"Medium Order","Regular Order"))</f>
        <v>Bulk Order</v>
      </c>
    </row>
    <row r="378" spans="1:12" ht="18" x14ac:dyDescent="0.35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6" t="s">
        <v>24</v>
      </c>
      <c r="L378" s="22" t="str">
        <f>IF(F378&gt;=15,"Bulk Order",IF(F378&gt;=5,"Medium Order","Regular Order"))</f>
        <v>Regular Order</v>
      </c>
    </row>
    <row r="379" spans="1:12" ht="18" x14ac:dyDescent="0.35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6" t="s">
        <v>51</v>
      </c>
      <c r="L379" s="22" t="str">
        <f>IF(F379&gt;=15,"Bulk Order",IF(F379&gt;=5,"Medium Order","Regular Order"))</f>
        <v>Bulk Order</v>
      </c>
    </row>
    <row r="380" spans="1:12" ht="18" x14ac:dyDescent="0.35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6" t="s">
        <v>20</v>
      </c>
      <c r="L380" s="22" t="str">
        <f>IF(F380&gt;=15,"Bulk Order",IF(F380&gt;=5,"Medium Order","Regular Order"))</f>
        <v>Medium Order</v>
      </c>
    </row>
    <row r="381" spans="1:12" ht="18" x14ac:dyDescent="0.35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6" t="s">
        <v>24</v>
      </c>
      <c r="L381" s="22" t="str">
        <f>IF(F381&gt;=15,"Bulk Order",IF(F381&gt;=5,"Medium Order","Regular Order"))</f>
        <v>Regular Order</v>
      </c>
    </row>
    <row r="382" spans="1:12" ht="18" x14ac:dyDescent="0.35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6" t="s">
        <v>20</v>
      </c>
      <c r="L382" s="22" t="str">
        <f>IF(F382&gt;=15,"Bulk Order",IF(F382&gt;=5,"Medium Order","Regular Order"))</f>
        <v>Medium Order</v>
      </c>
    </row>
    <row r="383" spans="1:12" ht="18" x14ac:dyDescent="0.35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6" t="s">
        <v>15</v>
      </c>
      <c r="L383" s="22" t="str">
        <f>IF(F383&gt;=15,"Bulk Order",IF(F383&gt;=5,"Medium Order","Regular Order"))</f>
        <v>Medium Order</v>
      </c>
    </row>
    <row r="384" spans="1:12" ht="18" x14ac:dyDescent="0.35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6" t="s">
        <v>15</v>
      </c>
      <c r="L384" s="22" t="str">
        <f>IF(F384&gt;=15,"Bulk Order",IF(F384&gt;=5,"Medium Order","Regular Order"))</f>
        <v>Medium Order</v>
      </c>
    </row>
    <row r="385" spans="1:12" ht="18" x14ac:dyDescent="0.35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6" t="s">
        <v>29</v>
      </c>
      <c r="L385" s="22" t="str">
        <f>IF(F385&gt;=15,"Bulk Order",IF(F385&gt;=5,"Medium Order","Regular Order"))</f>
        <v>Bulk Order</v>
      </c>
    </row>
    <row r="386" spans="1:12" ht="18" x14ac:dyDescent="0.35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6" t="s">
        <v>51</v>
      </c>
      <c r="L386" s="22" t="str">
        <f>IF(F386&gt;=15,"Bulk Order",IF(F386&gt;=5,"Medium Order","Regular Order"))</f>
        <v>Medium Order</v>
      </c>
    </row>
    <row r="387" spans="1:12" ht="18" x14ac:dyDescent="0.35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6" t="s">
        <v>51</v>
      </c>
      <c r="L387" s="22" t="str">
        <f>IF(F387&gt;=15,"Bulk Order",IF(F387&gt;=5,"Medium Order","Regular Order"))</f>
        <v>Medium Order</v>
      </c>
    </row>
    <row r="388" spans="1:12" ht="18" x14ac:dyDescent="0.35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6" t="s">
        <v>24</v>
      </c>
      <c r="L388" s="22" t="str">
        <f>IF(F388&gt;=15,"Bulk Order",IF(F388&gt;=5,"Medium Order","Regular Order"))</f>
        <v>Medium Order</v>
      </c>
    </row>
    <row r="389" spans="1:12" ht="18" x14ac:dyDescent="0.35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6" t="s">
        <v>20</v>
      </c>
      <c r="L389" s="22" t="str">
        <f>IF(F389&gt;=15,"Bulk Order",IF(F389&gt;=5,"Medium Order","Regular Order"))</f>
        <v>Medium Order</v>
      </c>
    </row>
    <row r="390" spans="1:12" ht="18" x14ac:dyDescent="0.35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6" t="s">
        <v>51</v>
      </c>
      <c r="L390" s="22" t="str">
        <f>IF(F390&gt;=15,"Bulk Order",IF(F390&gt;=5,"Medium Order","Regular Order"))</f>
        <v>Regular Order</v>
      </c>
    </row>
    <row r="391" spans="1:12" ht="18" x14ac:dyDescent="0.35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6" t="s">
        <v>51</v>
      </c>
      <c r="L391" s="22" t="str">
        <f>IF(F391&gt;=15,"Bulk Order",IF(F391&gt;=5,"Medium Order","Regular Order"))</f>
        <v>Medium Order</v>
      </c>
    </row>
    <row r="392" spans="1:12" ht="18" x14ac:dyDescent="0.35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6" t="s">
        <v>24</v>
      </c>
      <c r="L392" s="22" t="str">
        <f>IF(F392&gt;=15,"Bulk Order",IF(F392&gt;=5,"Medium Order","Regular Order"))</f>
        <v>Medium Order</v>
      </c>
    </row>
    <row r="393" spans="1:12" ht="18" x14ac:dyDescent="0.35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6" t="s">
        <v>29</v>
      </c>
      <c r="L393" s="22" t="str">
        <f>IF(F393&gt;=15,"Bulk Order",IF(F393&gt;=5,"Medium Order","Regular Order"))</f>
        <v>Medium Order</v>
      </c>
    </row>
    <row r="394" spans="1:12" ht="18" x14ac:dyDescent="0.35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6" t="s">
        <v>51</v>
      </c>
      <c r="L394" s="22" t="str">
        <f>IF(F394&gt;=15,"Bulk Order",IF(F394&gt;=5,"Medium Order","Regular Order"))</f>
        <v>Bulk Order</v>
      </c>
    </row>
    <row r="395" spans="1:12" ht="18" x14ac:dyDescent="0.35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6" t="s">
        <v>15</v>
      </c>
      <c r="L395" s="22" t="str">
        <f>IF(F395&gt;=15,"Bulk Order",IF(F395&gt;=5,"Medium Order","Regular Order"))</f>
        <v>Medium Order</v>
      </c>
    </row>
    <row r="396" spans="1:12" ht="18" x14ac:dyDescent="0.35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6" t="s">
        <v>29</v>
      </c>
      <c r="L396" s="22" t="str">
        <f>IF(F396&gt;=15,"Bulk Order",IF(F396&gt;=5,"Medium Order","Regular Order"))</f>
        <v>Bulk Order</v>
      </c>
    </row>
    <row r="397" spans="1:12" ht="18" x14ac:dyDescent="0.35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6" t="s">
        <v>15</v>
      </c>
      <c r="L397" s="22" t="str">
        <f>IF(F397&gt;=15,"Bulk Order",IF(F397&gt;=5,"Medium Order","Regular Order"))</f>
        <v>Medium Order</v>
      </c>
    </row>
    <row r="398" spans="1:12" ht="18" x14ac:dyDescent="0.35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6" t="s">
        <v>51</v>
      </c>
      <c r="L398" s="22" t="str">
        <f>IF(F398&gt;=15,"Bulk Order",IF(F398&gt;=5,"Medium Order","Regular Order"))</f>
        <v>Regular Order</v>
      </c>
    </row>
    <row r="399" spans="1:12" ht="18" x14ac:dyDescent="0.35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6" t="s">
        <v>15</v>
      </c>
      <c r="L399" s="22" t="str">
        <f>IF(F399&gt;=15,"Bulk Order",IF(F399&gt;=5,"Medium Order","Regular Order"))</f>
        <v>Medium Order</v>
      </c>
    </row>
    <row r="400" spans="1:12" ht="18" x14ac:dyDescent="0.35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6" t="s">
        <v>20</v>
      </c>
      <c r="L400" s="22" t="str">
        <f>IF(F400&gt;=15,"Bulk Order",IF(F400&gt;=5,"Medium Order","Regular Order"))</f>
        <v>Bulk Order</v>
      </c>
    </row>
    <row r="401" spans="1:12" ht="18.600000000000001" thickBot="1" x14ac:dyDescent="0.4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10" t="s">
        <v>20</v>
      </c>
      <c r="L401" s="22" t="str">
        <f>IF(F401&gt;=15,"Bulk Order",IF(F401&gt;=5,"Medium Order","Regular Order"))</f>
        <v>Medium Order</v>
      </c>
    </row>
    <row r="402" spans="1:12" ht="18" x14ac:dyDescent="0.35">
      <c r="L402" s="22" t="str">
        <f>IF(F402&gt;=15,"Bulk Order",IF(F402&gt;=5,"Medium Order","Regular Order"))</f>
        <v>Regular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4496-8B3C-4DC2-A04B-766255B00B8D}">
  <dimension ref="A1:L401"/>
  <sheetViews>
    <sheetView zoomScaleNormal="100" workbookViewId="0">
      <selection activeCell="L1" sqref="L1:L401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3" width="18.44140625" bestFit="1" customWidth="1"/>
  </cols>
  <sheetData>
    <row r="1" spans="1:12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3" t="s">
        <v>10</v>
      </c>
      <c r="L1" s="47" t="s">
        <v>68</v>
      </c>
    </row>
    <row r="2" spans="1:12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48" t="str">
        <f>IF(AND(D2="Electronics",H2&gt;10),"Eligible","Not Eligible")</f>
        <v>Not Eligible</v>
      </c>
    </row>
    <row r="3" spans="1:12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48" t="str">
        <f>IF(AND(D3="Electronics",H3&gt;10),"Eligible","Not Eligible")</f>
        <v>Not Eligible</v>
      </c>
    </row>
    <row r="4" spans="1:12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48" t="str">
        <f>IF(AND(D4="Electronics",H4&gt;10),"Eligible","Not Eligible")</f>
        <v>Not Eligible</v>
      </c>
    </row>
    <row r="5" spans="1:12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48" t="str">
        <f>IF(AND(D5="Electronics",H5&gt;10),"Eligible","Not Eligible")</f>
        <v>Not Eligible</v>
      </c>
    </row>
    <row r="6" spans="1:12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48" t="str">
        <f>IF(AND(D6="Electronics",H6&gt;10),"Eligible","Not Eligible")</f>
        <v>Not Eligible</v>
      </c>
    </row>
    <row r="7" spans="1:12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48" t="str">
        <f>IF(AND(D7="Electronics",H7&gt;10),"Eligible","Not Eligible")</f>
        <v>Not Eligible</v>
      </c>
    </row>
    <row r="8" spans="1:12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48" t="str">
        <f>IF(AND(D8="Electronics",H8&gt;10),"Eligible","Not Eligible")</f>
        <v>Not Eligible</v>
      </c>
    </row>
    <row r="9" spans="1:12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48" t="str">
        <f>IF(AND(D9="Electronics",H9&gt;10),"Eligible","Not Eligible")</f>
        <v>Not Eligible</v>
      </c>
    </row>
    <row r="10" spans="1:12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48" t="str">
        <f>IF(AND(D10="Electronics",H10&gt;10),"Eligible","Not Eligible")</f>
        <v>Eligible</v>
      </c>
    </row>
    <row r="11" spans="1:12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48" t="str">
        <f>IF(AND(D11="Electronics",H11&gt;10),"Eligible","Not Eligible")</f>
        <v>Not Eligible</v>
      </c>
    </row>
    <row r="12" spans="1:12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48" t="str">
        <f>IF(AND(D12="Electronics",H12&gt;10),"Eligible","Not Eligible")</f>
        <v>Not Eligible</v>
      </c>
    </row>
    <row r="13" spans="1:12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48" t="str">
        <f>IF(AND(D13="Electronics",H13&gt;10),"Eligible","Not Eligible")</f>
        <v>Not Eligible</v>
      </c>
    </row>
    <row r="14" spans="1:12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48" t="str">
        <f>IF(AND(D14="Electronics",H14&gt;10),"Eligible","Not Eligible")</f>
        <v>Not Eligible</v>
      </c>
    </row>
    <row r="15" spans="1:12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48" t="str">
        <f>IF(AND(D15="Electronics",H15&gt;10),"Eligible","Not Eligible")</f>
        <v>Eligible</v>
      </c>
    </row>
    <row r="16" spans="1:12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48" t="str">
        <f>IF(AND(D16="Electronics",H16&gt;10),"Eligible","Not Eligible")</f>
        <v>Not Eligible</v>
      </c>
    </row>
    <row r="17" spans="1:12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48" t="str">
        <f>IF(AND(D17="Electronics",H17&gt;10),"Eligible","Not Eligible")</f>
        <v>Eligible</v>
      </c>
    </row>
    <row r="18" spans="1:12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48" t="str">
        <f>IF(AND(D18="Electronics",H18&gt;10),"Eligible","Not Eligible")</f>
        <v>Not Eligible</v>
      </c>
    </row>
    <row r="19" spans="1:12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48" t="str">
        <f>IF(AND(D19="Electronics",H19&gt;10),"Eligible","Not Eligible")</f>
        <v>Not Eligible</v>
      </c>
    </row>
    <row r="20" spans="1:12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48" t="str">
        <f>IF(AND(D20="Electronics",H20&gt;10),"Eligible","Not Eligible")</f>
        <v>Not Eligible</v>
      </c>
    </row>
    <row r="21" spans="1:12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48" t="str">
        <f>IF(AND(D21="Electronics",H21&gt;10),"Eligible","Not Eligible")</f>
        <v>Not Eligible</v>
      </c>
    </row>
    <row r="22" spans="1:12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48" t="str">
        <f>IF(AND(D22="Electronics",H22&gt;10),"Eligible","Not Eligible")</f>
        <v>Not Eligible</v>
      </c>
    </row>
    <row r="23" spans="1:12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48" t="str">
        <f>IF(AND(D23="Electronics",H23&gt;10),"Eligible","Not Eligible")</f>
        <v>Not Eligible</v>
      </c>
    </row>
    <row r="24" spans="1:12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48" t="str">
        <f>IF(AND(D24="Electronics",H24&gt;10),"Eligible","Not Eligible")</f>
        <v>Not Eligible</v>
      </c>
    </row>
    <row r="25" spans="1:12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48" t="str">
        <f>IF(AND(D25="Electronics",H25&gt;10),"Eligible","Not Eligible")</f>
        <v>Not Eligible</v>
      </c>
    </row>
    <row r="26" spans="1:12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48" t="str">
        <f>IF(AND(D26="Electronics",H26&gt;10),"Eligible","Not Eligible")</f>
        <v>Not Eligible</v>
      </c>
    </row>
    <row r="27" spans="1:12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48" t="str">
        <f>IF(AND(D27="Electronics",H27&gt;10),"Eligible","Not Eligible")</f>
        <v>Not Eligible</v>
      </c>
    </row>
    <row r="28" spans="1:12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48" t="str">
        <f>IF(AND(D28="Electronics",H28&gt;10),"Eligible","Not Eligible")</f>
        <v>Not Eligible</v>
      </c>
    </row>
    <row r="29" spans="1:12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48" t="str">
        <f>IF(AND(D29="Electronics",H29&gt;10),"Eligible","Not Eligible")</f>
        <v>Not Eligible</v>
      </c>
    </row>
    <row r="30" spans="1:12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48" t="str">
        <f>IF(AND(D30="Electronics",H30&gt;10),"Eligible","Not Eligible")</f>
        <v>Not Eligible</v>
      </c>
    </row>
    <row r="31" spans="1:12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48" t="str">
        <f>IF(AND(D31="Electronics",H31&gt;10),"Eligible","Not Eligible")</f>
        <v>Not Eligible</v>
      </c>
    </row>
    <row r="32" spans="1:12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48" t="str">
        <f>IF(AND(D32="Electronics",H32&gt;10),"Eligible","Not Eligible")</f>
        <v>Not Eligible</v>
      </c>
    </row>
    <row r="33" spans="1:12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48" t="str">
        <f>IF(AND(D33="Electronics",H33&gt;10),"Eligible","Not Eligible")</f>
        <v>Not Eligible</v>
      </c>
    </row>
    <row r="34" spans="1:12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48" t="str">
        <f>IF(AND(D34="Electronics",H34&gt;10),"Eligible","Not Eligible")</f>
        <v>Not Eligible</v>
      </c>
    </row>
    <row r="35" spans="1:12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48" t="str">
        <f>IF(AND(D35="Electronics",H35&gt;10),"Eligible","Not Eligible")</f>
        <v>Not Eligible</v>
      </c>
    </row>
    <row r="36" spans="1:12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48" t="str">
        <f>IF(AND(D36="Electronics",H36&gt;10),"Eligible","Not Eligible")</f>
        <v>Not Eligible</v>
      </c>
    </row>
    <row r="37" spans="1:12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48" t="str">
        <f>IF(AND(D37="Electronics",H37&gt;10),"Eligible","Not Eligible")</f>
        <v>Not Eligible</v>
      </c>
    </row>
    <row r="38" spans="1:12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48" t="str">
        <f>IF(AND(D38="Electronics",H38&gt;10),"Eligible","Not Eligible")</f>
        <v>Not Eligible</v>
      </c>
    </row>
    <row r="39" spans="1:12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48" t="str">
        <f>IF(AND(D39="Electronics",H39&gt;10),"Eligible","Not Eligible")</f>
        <v>Not Eligible</v>
      </c>
    </row>
    <row r="40" spans="1:12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48" t="str">
        <f>IF(AND(D40="Electronics",H40&gt;10),"Eligible","Not Eligible")</f>
        <v>Not Eligible</v>
      </c>
    </row>
    <row r="41" spans="1:12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48" t="str">
        <f>IF(AND(D41="Electronics",H41&gt;10),"Eligible","Not Eligible")</f>
        <v>Not Eligible</v>
      </c>
    </row>
    <row r="42" spans="1:12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48" t="str">
        <f>IF(AND(D42="Electronics",H42&gt;10),"Eligible","Not Eligible")</f>
        <v>Not Eligible</v>
      </c>
    </row>
    <row r="43" spans="1:12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48" t="str">
        <f>IF(AND(D43="Electronics",H43&gt;10),"Eligible","Not Eligible")</f>
        <v>Not Eligible</v>
      </c>
    </row>
    <row r="44" spans="1:12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48" t="str">
        <f>IF(AND(D44="Electronics",H44&gt;10),"Eligible","Not Eligible")</f>
        <v>Not Eligible</v>
      </c>
    </row>
    <row r="45" spans="1:12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48" t="str">
        <f>IF(AND(D45="Electronics",H45&gt;10),"Eligible","Not Eligible")</f>
        <v>Not Eligible</v>
      </c>
    </row>
    <row r="46" spans="1:12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48" t="str">
        <f>IF(AND(D46="Electronics",H46&gt;10),"Eligible","Not Eligible")</f>
        <v>Not Eligible</v>
      </c>
    </row>
    <row r="47" spans="1:12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48" t="str">
        <f>IF(AND(D47="Electronics",H47&gt;10),"Eligible","Not Eligible")</f>
        <v>Not Eligible</v>
      </c>
    </row>
    <row r="48" spans="1:12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48" t="str">
        <f>IF(AND(D48="Electronics",H48&gt;10),"Eligible","Not Eligible")</f>
        <v>Not Eligible</v>
      </c>
    </row>
    <row r="49" spans="1:12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48" t="str">
        <f>IF(AND(D49="Electronics",H49&gt;10),"Eligible","Not Eligible")</f>
        <v>Not Eligible</v>
      </c>
    </row>
    <row r="50" spans="1:12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48" t="str">
        <f>IF(AND(D50="Electronics",H50&gt;10),"Eligible","Not Eligible")</f>
        <v>Not Eligible</v>
      </c>
    </row>
    <row r="51" spans="1:12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48" t="str">
        <f>IF(AND(D51="Electronics",H51&gt;10),"Eligible","Not Eligible")</f>
        <v>Not Eligible</v>
      </c>
    </row>
    <row r="52" spans="1:12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48" t="str">
        <f>IF(AND(D52="Electronics",H52&gt;10),"Eligible","Not Eligible")</f>
        <v>Not Eligible</v>
      </c>
    </row>
    <row r="53" spans="1:12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48" t="str">
        <f>IF(AND(D53="Electronics",H53&gt;10),"Eligible","Not Eligible")</f>
        <v>Not Eligible</v>
      </c>
    </row>
    <row r="54" spans="1:12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48" t="str">
        <f>IF(AND(D54="Electronics",H54&gt;10),"Eligible","Not Eligible")</f>
        <v>Not Eligible</v>
      </c>
    </row>
    <row r="55" spans="1:12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48" t="str">
        <f>IF(AND(D55="Electronics",H55&gt;10),"Eligible","Not Eligible")</f>
        <v>Not Eligible</v>
      </c>
    </row>
    <row r="56" spans="1:12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48" t="str">
        <f>IF(AND(D56="Electronics",H56&gt;10),"Eligible","Not Eligible")</f>
        <v>Not Eligible</v>
      </c>
    </row>
    <row r="57" spans="1:12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48" t="str">
        <f>IF(AND(D57="Electronics",H57&gt;10),"Eligible","Not Eligible")</f>
        <v>Not Eligible</v>
      </c>
    </row>
    <row r="58" spans="1:12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48" t="str">
        <f>IF(AND(D58="Electronics",H58&gt;10),"Eligible","Not Eligible")</f>
        <v>Not Eligible</v>
      </c>
    </row>
    <row r="59" spans="1:12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48" t="str">
        <f>IF(AND(D59="Electronics",H59&gt;10),"Eligible","Not Eligible")</f>
        <v>Not Eligible</v>
      </c>
    </row>
    <row r="60" spans="1:12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48" t="str">
        <f>IF(AND(D60="Electronics",H60&gt;10),"Eligible","Not Eligible")</f>
        <v>Not Eligible</v>
      </c>
    </row>
    <row r="61" spans="1:12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48" t="str">
        <f>IF(AND(D61="Electronics",H61&gt;10),"Eligible","Not Eligible")</f>
        <v>Not Eligible</v>
      </c>
    </row>
    <row r="62" spans="1:12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48" t="str">
        <f>IF(AND(D62="Electronics",H62&gt;10),"Eligible","Not Eligible")</f>
        <v>Not Eligible</v>
      </c>
    </row>
    <row r="63" spans="1:12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48" t="str">
        <f>IF(AND(D63="Electronics",H63&gt;10),"Eligible","Not Eligible")</f>
        <v>Not Eligible</v>
      </c>
    </row>
    <row r="64" spans="1:12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48" t="str">
        <f>IF(AND(D64="Electronics",H64&gt;10),"Eligible","Not Eligible")</f>
        <v>Not Eligible</v>
      </c>
    </row>
    <row r="65" spans="1:12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48" t="str">
        <f>IF(AND(D65="Electronics",H65&gt;10),"Eligible","Not Eligible")</f>
        <v>Not Eligible</v>
      </c>
    </row>
    <row r="66" spans="1:12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48" t="str">
        <f>IF(AND(D66="Electronics",H66&gt;10),"Eligible","Not Eligible")</f>
        <v>Not Eligible</v>
      </c>
    </row>
    <row r="67" spans="1:12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48" t="str">
        <f>IF(AND(D67="Electronics",H67&gt;10),"Eligible","Not Eligible")</f>
        <v>Not Eligible</v>
      </c>
    </row>
    <row r="68" spans="1:12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48" t="str">
        <f>IF(AND(D68="Electronics",H68&gt;10),"Eligible","Not Eligible")</f>
        <v>Not Eligible</v>
      </c>
    </row>
    <row r="69" spans="1:12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48" t="str">
        <f>IF(AND(D69="Electronics",H69&gt;10),"Eligible","Not Eligible")</f>
        <v>Not Eligible</v>
      </c>
    </row>
    <row r="70" spans="1:12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48" t="str">
        <f>IF(AND(D70="Electronics",H70&gt;10),"Eligible","Not Eligible")</f>
        <v>Not Eligible</v>
      </c>
    </row>
    <row r="71" spans="1:12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48" t="str">
        <f>IF(AND(D71="Electronics",H71&gt;10),"Eligible","Not Eligible")</f>
        <v>Not Eligible</v>
      </c>
    </row>
    <row r="72" spans="1:12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48" t="str">
        <f>IF(AND(D72="Electronics",H72&gt;10),"Eligible","Not Eligible")</f>
        <v>Not Eligible</v>
      </c>
    </row>
    <row r="73" spans="1:12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48" t="str">
        <f>IF(AND(D73="Electronics",H73&gt;10),"Eligible","Not Eligible")</f>
        <v>Not Eligible</v>
      </c>
    </row>
    <row r="74" spans="1:12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48" t="str">
        <f>IF(AND(D74="Electronics",H74&gt;10),"Eligible","Not Eligible")</f>
        <v>Not Eligible</v>
      </c>
    </row>
    <row r="75" spans="1:12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48" t="str">
        <f>IF(AND(D75="Electronics",H75&gt;10),"Eligible","Not Eligible")</f>
        <v>Not Eligible</v>
      </c>
    </row>
    <row r="76" spans="1:12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48" t="str">
        <f>IF(AND(D76="Electronics",H76&gt;10),"Eligible","Not Eligible")</f>
        <v>Not Eligible</v>
      </c>
    </row>
    <row r="77" spans="1:12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48" t="str">
        <f>IF(AND(D77="Electronics",H77&gt;10),"Eligible","Not Eligible")</f>
        <v>Not Eligible</v>
      </c>
    </row>
    <row r="78" spans="1:12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48" t="str">
        <f>IF(AND(D78="Electronics",H78&gt;10),"Eligible","Not Eligible")</f>
        <v>Not Eligible</v>
      </c>
    </row>
    <row r="79" spans="1:12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48" t="str">
        <f>IF(AND(D79="Electronics",H79&gt;10),"Eligible","Not Eligible")</f>
        <v>Eligible</v>
      </c>
    </row>
    <row r="80" spans="1:12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48" t="str">
        <f>IF(AND(D80="Electronics",H80&gt;10),"Eligible","Not Eligible")</f>
        <v>Eligible</v>
      </c>
    </row>
    <row r="81" spans="1:12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48" t="str">
        <f>IF(AND(D81="Electronics",H81&gt;10),"Eligible","Not Eligible")</f>
        <v>Eligible</v>
      </c>
    </row>
    <row r="82" spans="1:12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48" t="str">
        <f>IF(AND(D82="Electronics",H82&gt;10),"Eligible","Not Eligible")</f>
        <v>Not Eligible</v>
      </c>
    </row>
    <row r="83" spans="1:12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48" t="str">
        <f>IF(AND(D83="Electronics",H83&gt;10),"Eligible","Not Eligible")</f>
        <v>Not Eligible</v>
      </c>
    </row>
    <row r="84" spans="1:12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48" t="str">
        <f>IF(AND(D84="Electronics",H84&gt;10),"Eligible","Not Eligible")</f>
        <v>Not Eligible</v>
      </c>
    </row>
    <row r="85" spans="1:12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48" t="str">
        <f>IF(AND(D85="Electronics",H85&gt;10),"Eligible","Not Eligible")</f>
        <v>Not Eligible</v>
      </c>
    </row>
    <row r="86" spans="1:12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48" t="str">
        <f>IF(AND(D86="Electronics",H86&gt;10),"Eligible","Not Eligible")</f>
        <v>Eligible</v>
      </c>
    </row>
    <row r="87" spans="1:12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48" t="str">
        <f>IF(AND(D87="Electronics",H87&gt;10),"Eligible","Not Eligible")</f>
        <v>Not Eligible</v>
      </c>
    </row>
    <row r="88" spans="1:12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48" t="str">
        <f>IF(AND(D88="Electronics",H88&gt;10),"Eligible","Not Eligible")</f>
        <v>Not Eligible</v>
      </c>
    </row>
    <row r="89" spans="1:12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48" t="str">
        <f>IF(AND(D89="Electronics",H89&gt;10),"Eligible","Not Eligible")</f>
        <v>Not Eligible</v>
      </c>
    </row>
    <row r="90" spans="1:12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48" t="str">
        <f>IF(AND(D90="Electronics",H90&gt;10),"Eligible","Not Eligible")</f>
        <v>Not Eligible</v>
      </c>
    </row>
    <row r="91" spans="1:12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48" t="str">
        <f>IF(AND(D91="Electronics",H91&gt;10),"Eligible","Not Eligible")</f>
        <v>Not Eligible</v>
      </c>
    </row>
    <row r="92" spans="1:12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48" t="str">
        <f>IF(AND(D92="Electronics",H92&gt;10),"Eligible","Not Eligible")</f>
        <v>Not Eligible</v>
      </c>
    </row>
    <row r="93" spans="1:12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48" t="str">
        <f>IF(AND(D93="Electronics",H93&gt;10),"Eligible","Not Eligible")</f>
        <v>Not Eligible</v>
      </c>
    </row>
    <row r="94" spans="1:12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48" t="str">
        <f>IF(AND(D94="Electronics",H94&gt;10),"Eligible","Not Eligible")</f>
        <v>Not Eligible</v>
      </c>
    </row>
    <row r="95" spans="1:12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48" t="str">
        <f>IF(AND(D95="Electronics",H95&gt;10),"Eligible","Not Eligible")</f>
        <v>Not Eligible</v>
      </c>
    </row>
    <row r="96" spans="1:12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48" t="str">
        <f>IF(AND(D96="Electronics",H96&gt;10),"Eligible","Not Eligible")</f>
        <v>Not Eligible</v>
      </c>
    </row>
    <row r="97" spans="1:12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48" t="str">
        <f>IF(AND(D97="Electronics",H97&gt;10),"Eligible","Not Eligible")</f>
        <v>Not Eligible</v>
      </c>
    </row>
    <row r="98" spans="1:12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48" t="str">
        <f>IF(AND(D98="Electronics",H98&gt;10),"Eligible","Not Eligible")</f>
        <v>Not Eligible</v>
      </c>
    </row>
    <row r="99" spans="1:12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48" t="str">
        <f>IF(AND(D99="Electronics",H99&gt;10),"Eligible","Not Eligible")</f>
        <v>Not Eligible</v>
      </c>
    </row>
    <row r="100" spans="1:12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48" t="str">
        <f>IF(AND(D100="Electronics",H100&gt;10),"Eligible","Not Eligible")</f>
        <v>Not Eligible</v>
      </c>
    </row>
    <row r="101" spans="1:12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48" t="str">
        <f>IF(AND(D101="Electronics",H101&gt;10),"Eligible","Not Eligible")</f>
        <v>Not Eligible</v>
      </c>
    </row>
    <row r="102" spans="1:12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48" t="str">
        <f>IF(AND(D102="Electronics",H102&gt;10),"Eligible","Not Eligible")</f>
        <v>Not Eligible</v>
      </c>
    </row>
    <row r="103" spans="1:12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48" t="str">
        <f>IF(AND(D103="Electronics",H103&gt;10),"Eligible","Not Eligible")</f>
        <v>Not Eligible</v>
      </c>
    </row>
    <row r="104" spans="1:12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48" t="str">
        <f>IF(AND(D104="Electronics",H104&gt;10),"Eligible","Not Eligible")</f>
        <v>Not Eligible</v>
      </c>
    </row>
    <row r="105" spans="1:12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48" t="str">
        <f>IF(AND(D105="Electronics",H105&gt;10),"Eligible","Not Eligible")</f>
        <v>Not Eligible</v>
      </c>
    </row>
    <row r="106" spans="1:12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48" t="str">
        <f>IF(AND(D106="Electronics",H106&gt;10),"Eligible","Not Eligible")</f>
        <v>Not Eligible</v>
      </c>
    </row>
    <row r="107" spans="1:12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48" t="str">
        <f>IF(AND(D107="Electronics",H107&gt;10),"Eligible","Not Eligible")</f>
        <v>Not Eligible</v>
      </c>
    </row>
    <row r="108" spans="1:12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48" t="str">
        <f>IF(AND(D108="Electronics",H108&gt;10),"Eligible","Not Eligible")</f>
        <v>Not Eligible</v>
      </c>
    </row>
    <row r="109" spans="1:12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48" t="str">
        <f>IF(AND(D109="Electronics",H109&gt;10),"Eligible","Not Eligible")</f>
        <v>Not Eligible</v>
      </c>
    </row>
    <row r="110" spans="1:12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48" t="str">
        <f>IF(AND(D110="Electronics",H110&gt;10),"Eligible","Not Eligible")</f>
        <v>Not Eligible</v>
      </c>
    </row>
    <row r="111" spans="1:12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48" t="str">
        <f>IF(AND(D111="Electronics",H111&gt;10),"Eligible","Not Eligible")</f>
        <v>Not Eligible</v>
      </c>
    </row>
    <row r="112" spans="1:12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48" t="str">
        <f>IF(AND(D112="Electronics",H112&gt;10),"Eligible","Not Eligible")</f>
        <v>Eligible</v>
      </c>
    </row>
    <row r="113" spans="1:12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48" t="str">
        <f>IF(AND(D113="Electronics",H113&gt;10),"Eligible","Not Eligible")</f>
        <v>Not Eligible</v>
      </c>
    </row>
    <row r="114" spans="1:12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48" t="str">
        <f>IF(AND(D114="Electronics",H114&gt;10),"Eligible","Not Eligible")</f>
        <v>Not Eligible</v>
      </c>
    </row>
    <row r="115" spans="1:12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48" t="str">
        <f>IF(AND(D115="Electronics",H115&gt;10),"Eligible","Not Eligible")</f>
        <v>Not Eligible</v>
      </c>
    </row>
    <row r="116" spans="1:12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48" t="str">
        <f>IF(AND(D116="Electronics",H116&gt;10),"Eligible","Not Eligible")</f>
        <v>Not Eligible</v>
      </c>
    </row>
    <row r="117" spans="1:12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48" t="str">
        <f>IF(AND(D117="Electronics",H117&gt;10),"Eligible","Not Eligible")</f>
        <v>Not Eligible</v>
      </c>
    </row>
    <row r="118" spans="1:12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48" t="str">
        <f>IF(AND(D118="Electronics",H118&gt;10),"Eligible","Not Eligible")</f>
        <v>Not Eligible</v>
      </c>
    </row>
    <row r="119" spans="1:12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48" t="str">
        <f>IF(AND(D119="Electronics",H119&gt;10),"Eligible","Not Eligible")</f>
        <v>Not Eligible</v>
      </c>
    </row>
    <row r="120" spans="1:12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48" t="str">
        <f>IF(AND(D120="Electronics",H120&gt;10),"Eligible","Not Eligible")</f>
        <v>Not Eligible</v>
      </c>
    </row>
    <row r="121" spans="1:12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48" t="str">
        <f>IF(AND(D121="Electronics",H121&gt;10),"Eligible","Not Eligible")</f>
        <v>Not Eligible</v>
      </c>
    </row>
    <row r="122" spans="1:12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48" t="str">
        <f>IF(AND(D122="Electronics",H122&gt;10),"Eligible","Not Eligible")</f>
        <v>Not Eligible</v>
      </c>
    </row>
    <row r="123" spans="1:12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48" t="str">
        <f>IF(AND(D123="Electronics",H123&gt;10),"Eligible","Not Eligible")</f>
        <v>Not Eligible</v>
      </c>
    </row>
    <row r="124" spans="1:12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48" t="str">
        <f>IF(AND(D124="Electronics",H124&gt;10),"Eligible","Not Eligible")</f>
        <v>Not Eligible</v>
      </c>
    </row>
    <row r="125" spans="1:12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48" t="str">
        <f>IF(AND(D125="Electronics",H125&gt;10),"Eligible","Not Eligible")</f>
        <v>Not Eligible</v>
      </c>
    </row>
    <row r="126" spans="1:12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48" t="str">
        <f>IF(AND(D126="Electronics",H126&gt;10),"Eligible","Not Eligible")</f>
        <v>Not Eligible</v>
      </c>
    </row>
    <row r="127" spans="1:12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48" t="str">
        <f>IF(AND(D127="Electronics",H127&gt;10),"Eligible","Not Eligible")</f>
        <v>Eligible</v>
      </c>
    </row>
    <row r="128" spans="1:12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48" t="str">
        <f>IF(AND(D128="Electronics",H128&gt;10),"Eligible","Not Eligible")</f>
        <v>Not Eligible</v>
      </c>
    </row>
    <row r="129" spans="1:12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48" t="str">
        <f>IF(AND(D129="Electronics",H129&gt;10),"Eligible","Not Eligible")</f>
        <v>Not Eligible</v>
      </c>
    </row>
    <row r="130" spans="1:12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48" t="str">
        <f>IF(AND(D130="Electronics",H130&gt;10),"Eligible","Not Eligible")</f>
        <v>Not Eligible</v>
      </c>
    </row>
    <row r="131" spans="1:12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48" t="str">
        <f>IF(AND(D131="Electronics",H131&gt;10),"Eligible","Not Eligible")</f>
        <v>Not Eligible</v>
      </c>
    </row>
    <row r="132" spans="1:12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48" t="str">
        <f>IF(AND(D132="Electronics",H132&gt;10),"Eligible","Not Eligible")</f>
        <v>Not Eligible</v>
      </c>
    </row>
    <row r="133" spans="1:12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48" t="str">
        <f>IF(AND(D133="Electronics",H133&gt;10),"Eligible","Not Eligible")</f>
        <v>Not Eligible</v>
      </c>
    </row>
    <row r="134" spans="1:12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48" t="str">
        <f>IF(AND(D134="Electronics",H134&gt;10),"Eligible","Not Eligible")</f>
        <v>Not Eligible</v>
      </c>
    </row>
    <row r="135" spans="1:12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48" t="str">
        <f>IF(AND(D135="Electronics",H135&gt;10),"Eligible","Not Eligible")</f>
        <v>Eligible</v>
      </c>
    </row>
    <row r="136" spans="1:12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48" t="str">
        <f>IF(AND(D136="Electronics",H136&gt;10),"Eligible","Not Eligible")</f>
        <v>Not Eligible</v>
      </c>
    </row>
    <row r="137" spans="1:12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48" t="str">
        <f>IF(AND(D137="Electronics",H137&gt;10),"Eligible","Not Eligible")</f>
        <v>Not Eligible</v>
      </c>
    </row>
    <row r="138" spans="1:12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48" t="str">
        <f>IF(AND(D138="Electronics",H138&gt;10),"Eligible","Not Eligible")</f>
        <v>Not Eligible</v>
      </c>
    </row>
    <row r="139" spans="1:12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48" t="str">
        <f>IF(AND(D139="Electronics",H139&gt;10),"Eligible","Not Eligible")</f>
        <v>Not Eligible</v>
      </c>
    </row>
    <row r="140" spans="1:12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48" t="str">
        <f>IF(AND(D140="Electronics",H140&gt;10),"Eligible","Not Eligible")</f>
        <v>Not Eligible</v>
      </c>
    </row>
    <row r="141" spans="1:12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48" t="str">
        <f>IF(AND(D141="Electronics",H141&gt;10),"Eligible","Not Eligible")</f>
        <v>Not Eligible</v>
      </c>
    </row>
    <row r="142" spans="1:12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48" t="str">
        <f>IF(AND(D142="Electronics",H142&gt;10),"Eligible","Not Eligible")</f>
        <v>Not Eligible</v>
      </c>
    </row>
    <row r="143" spans="1:12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48" t="str">
        <f>IF(AND(D143="Electronics",H143&gt;10),"Eligible","Not Eligible")</f>
        <v>Not Eligible</v>
      </c>
    </row>
    <row r="144" spans="1:12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48" t="str">
        <f>IF(AND(D144="Electronics",H144&gt;10),"Eligible","Not Eligible")</f>
        <v>Not Eligible</v>
      </c>
    </row>
    <row r="145" spans="1:12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48" t="str">
        <f>IF(AND(D145="Electronics",H145&gt;10),"Eligible","Not Eligible")</f>
        <v>Not Eligible</v>
      </c>
    </row>
    <row r="146" spans="1:12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48" t="str">
        <f>IF(AND(D146="Electronics",H146&gt;10),"Eligible","Not Eligible")</f>
        <v>Eligible</v>
      </c>
    </row>
    <row r="147" spans="1:12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48" t="str">
        <f>IF(AND(D147="Electronics",H147&gt;10),"Eligible","Not Eligible")</f>
        <v>Not Eligible</v>
      </c>
    </row>
    <row r="148" spans="1:12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48" t="str">
        <f>IF(AND(D148="Electronics",H148&gt;10),"Eligible","Not Eligible")</f>
        <v>Not Eligible</v>
      </c>
    </row>
    <row r="149" spans="1:12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48" t="str">
        <f>IF(AND(D149="Electronics",H149&gt;10),"Eligible","Not Eligible")</f>
        <v>Not Eligible</v>
      </c>
    </row>
    <row r="150" spans="1:12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48" t="str">
        <f>IF(AND(D150="Electronics",H150&gt;10),"Eligible","Not Eligible")</f>
        <v>Not Eligible</v>
      </c>
    </row>
    <row r="151" spans="1:12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48" t="str">
        <f>IF(AND(D151="Electronics",H151&gt;10),"Eligible","Not Eligible")</f>
        <v>Not Eligible</v>
      </c>
    </row>
    <row r="152" spans="1:12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48" t="str">
        <f>IF(AND(D152="Electronics",H152&gt;10),"Eligible","Not Eligible")</f>
        <v>Not Eligible</v>
      </c>
    </row>
    <row r="153" spans="1:12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48" t="str">
        <f>IF(AND(D153="Electronics",H153&gt;10),"Eligible","Not Eligible")</f>
        <v>Not Eligible</v>
      </c>
    </row>
    <row r="154" spans="1:12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48" t="str">
        <f>IF(AND(D154="Electronics",H154&gt;10),"Eligible","Not Eligible")</f>
        <v>Not Eligible</v>
      </c>
    </row>
    <row r="155" spans="1:12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48" t="str">
        <f>IF(AND(D155="Electronics",H155&gt;10),"Eligible","Not Eligible")</f>
        <v>Not Eligible</v>
      </c>
    </row>
    <row r="156" spans="1:12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48" t="str">
        <f>IF(AND(D156="Electronics",H156&gt;10),"Eligible","Not Eligible")</f>
        <v>Not Eligible</v>
      </c>
    </row>
    <row r="157" spans="1:12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48" t="str">
        <f>IF(AND(D157="Electronics",H157&gt;10),"Eligible","Not Eligible")</f>
        <v>Not Eligible</v>
      </c>
    </row>
    <row r="158" spans="1:12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48" t="str">
        <f>IF(AND(D158="Electronics",H158&gt;10),"Eligible","Not Eligible")</f>
        <v>Not Eligible</v>
      </c>
    </row>
    <row r="159" spans="1:12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48" t="str">
        <f>IF(AND(D159="Electronics",H159&gt;10),"Eligible","Not Eligible")</f>
        <v>Not Eligible</v>
      </c>
    </row>
    <row r="160" spans="1:12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48" t="str">
        <f>IF(AND(D160="Electronics",H160&gt;10),"Eligible","Not Eligible")</f>
        <v>Not Eligible</v>
      </c>
    </row>
    <row r="161" spans="1:12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48" t="str">
        <f>IF(AND(D161="Electronics",H161&gt;10),"Eligible","Not Eligible")</f>
        <v>Not Eligible</v>
      </c>
    </row>
    <row r="162" spans="1:12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48" t="str">
        <f>IF(AND(D162="Electronics",H162&gt;10),"Eligible","Not Eligible")</f>
        <v>Not Eligible</v>
      </c>
    </row>
    <row r="163" spans="1:12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48" t="str">
        <f>IF(AND(D163="Electronics",H163&gt;10),"Eligible","Not Eligible")</f>
        <v>Not Eligible</v>
      </c>
    </row>
    <row r="164" spans="1:12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48" t="str">
        <f>IF(AND(D164="Electronics",H164&gt;10),"Eligible","Not Eligible")</f>
        <v>Not Eligible</v>
      </c>
    </row>
    <row r="165" spans="1:12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48" t="str">
        <f>IF(AND(D165="Electronics",H165&gt;10),"Eligible","Not Eligible")</f>
        <v>Eligible</v>
      </c>
    </row>
    <row r="166" spans="1:12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48" t="str">
        <f>IF(AND(D166="Electronics",H166&gt;10),"Eligible","Not Eligible")</f>
        <v>Not Eligible</v>
      </c>
    </row>
    <row r="167" spans="1:12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48" t="str">
        <f>IF(AND(D167="Electronics",H167&gt;10),"Eligible","Not Eligible")</f>
        <v>Not Eligible</v>
      </c>
    </row>
    <row r="168" spans="1:12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48" t="str">
        <f>IF(AND(D168="Electronics",H168&gt;10),"Eligible","Not Eligible")</f>
        <v>Not Eligible</v>
      </c>
    </row>
    <row r="169" spans="1:12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48" t="str">
        <f>IF(AND(D169="Electronics",H169&gt;10),"Eligible","Not Eligible")</f>
        <v>Not Eligible</v>
      </c>
    </row>
    <row r="170" spans="1:12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48" t="str">
        <f>IF(AND(D170="Electronics",H170&gt;10),"Eligible","Not Eligible")</f>
        <v>Not Eligible</v>
      </c>
    </row>
    <row r="171" spans="1:12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48" t="str">
        <f>IF(AND(D171="Electronics",H171&gt;10),"Eligible","Not Eligible")</f>
        <v>Not Eligible</v>
      </c>
    </row>
    <row r="172" spans="1:12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48" t="str">
        <f>IF(AND(D172="Electronics",H172&gt;10),"Eligible","Not Eligible")</f>
        <v>Not Eligible</v>
      </c>
    </row>
    <row r="173" spans="1:12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48" t="str">
        <f>IF(AND(D173="Electronics",H173&gt;10),"Eligible","Not Eligible")</f>
        <v>Eligible</v>
      </c>
    </row>
    <row r="174" spans="1:12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48" t="str">
        <f>IF(AND(D174="Electronics",H174&gt;10),"Eligible","Not Eligible")</f>
        <v>Not Eligible</v>
      </c>
    </row>
    <row r="175" spans="1:12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48" t="str">
        <f>IF(AND(D175="Electronics",H175&gt;10),"Eligible","Not Eligible")</f>
        <v>Not Eligible</v>
      </c>
    </row>
    <row r="176" spans="1:12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48" t="str">
        <f>IF(AND(D176="Electronics",H176&gt;10),"Eligible","Not Eligible")</f>
        <v>Not Eligible</v>
      </c>
    </row>
    <row r="177" spans="1:12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48" t="str">
        <f>IF(AND(D177="Electronics",H177&gt;10),"Eligible","Not Eligible")</f>
        <v>Eligible</v>
      </c>
    </row>
    <row r="178" spans="1:12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48" t="str">
        <f>IF(AND(D178="Electronics",H178&gt;10),"Eligible","Not Eligible")</f>
        <v>Not Eligible</v>
      </c>
    </row>
    <row r="179" spans="1:12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48" t="str">
        <f>IF(AND(D179="Electronics",H179&gt;10),"Eligible","Not Eligible")</f>
        <v>Not Eligible</v>
      </c>
    </row>
    <row r="180" spans="1:12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48" t="str">
        <f>IF(AND(D180="Electronics",H180&gt;10),"Eligible","Not Eligible")</f>
        <v>Not Eligible</v>
      </c>
    </row>
    <row r="181" spans="1:12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48" t="str">
        <f>IF(AND(D181="Electronics",H181&gt;10),"Eligible","Not Eligible")</f>
        <v>Not Eligible</v>
      </c>
    </row>
    <row r="182" spans="1:12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48" t="str">
        <f>IF(AND(D182="Electronics",H182&gt;10),"Eligible","Not Eligible")</f>
        <v>Not Eligible</v>
      </c>
    </row>
    <row r="183" spans="1:12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48" t="str">
        <f>IF(AND(D183="Electronics",H183&gt;10),"Eligible","Not Eligible")</f>
        <v>Eligible</v>
      </c>
    </row>
    <row r="184" spans="1:12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48" t="str">
        <f>IF(AND(D184="Electronics",H184&gt;10),"Eligible","Not Eligible")</f>
        <v>Not Eligible</v>
      </c>
    </row>
    <row r="185" spans="1:12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48" t="str">
        <f>IF(AND(D185="Electronics",H185&gt;10),"Eligible","Not Eligible")</f>
        <v>Eligible</v>
      </c>
    </row>
    <row r="186" spans="1:12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48" t="str">
        <f>IF(AND(D186="Electronics",H186&gt;10),"Eligible","Not Eligible")</f>
        <v>Not Eligible</v>
      </c>
    </row>
    <row r="187" spans="1:12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48" t="str">
        <f>IF(AND(D187="Electronics",H187&gt;10),"Eligible","Not Eligible")</f>
        <v>Not Eligible</v>
      </c>
    </row>
    <row r="188" spans="1:12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48" t="str">
        <f>IF(AND(D188="Electronics",H188&gt;10),"Eligible","Not Eligible")</f>
        <v>Eligible</v>
      </c>
    </row>
    <row r="189" spans="1:12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48" t="str">
        <f>IF(AND(D189="Electronics",H189&gt;10),"Eligible","Not Eligible")</f>
        <v>Not Eligible</v>
      </c>
    </row>
    <row r="190" spans="1:12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48" t="str">
        <f>IF(AND(D190="Electronics",H190&gt;10),"Eligible","Not Eligible")</f>
        <v>Not Eligible</v>
      </c>
    </row>
    <row r="191" spans="1:12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48" t="str">
        <f>IF(AND(D191="Electronics",H191&gt;10),"Eligible","Not Eligible")</f>
        <v>Not Eligible</v>
      </c>
    </row>
    <row r="192" spans="1:12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48" t="str">
        <f>IF(AND(D192="Electronics",H192&gt;10),"Eligible","Not Eligible")</f>
        <v>Not Eligible</v>
      </c>
    </row>
    <row r="193" spans="1:12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48" t="str">
        <f>IF(AND(D193="Electronics",H193&gt;10),"Eligible","Not Eligible")</f>
        <v>Not Eligible</v>
      </c>
    </row>
    <row r="194" spans="1:12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48" t="str">
        <f>IF(AND(D194="Electronics",H194&gt;10),"Eligible","Not Eligible")</f>
        <v>Not Eligible</v>
      </c>
    </row>
    <row r="195" spans="1:12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48" t="str">
        <f>IF(AND(D195="Electronics",H195&gt;10),"Eligible","Not Eligible")</f>
        <v>Not Eligible</v>
      </c>
    </row>
    <row r="196" spans="1:12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48" t="str">
        <f>IF(AND(D196="Electronics",H196&gt;10),"Eligible","Not Eligible")</f>
        <v>Not Eligible</v>
      </c>
    </row>
    <row r="197" spans="1:12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48" t="str">
        <f>IF(AND(D197="Electronics",H197&gt;10),"Eligible","Not Eligible")</f>
        <v>Not Eligible</v>
      </c>
    </row>
    <row r="198" spans="1:12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48" t="str">
        <f>IF(AND(D198="Electronics",H198&gt;10),"Eligible","Not Eligible")</f>
        <v>Eligible</v>
      </c>
    </row>
    <row r="199" spans="1:12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48" t="str">
        <f>IF(AND(D199="Electronics",H199&gt;10),"Eligible","Not Eligible")</f>
        <v>Not Eligible</v>
      </c>
    </row>
    <row r="200" spans="1:12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48" t="str">
        <f>IF(AND(D200="Electronics",H200&gt;10),"Eligible","Not Eligible")</f>
        <v>Not Eligible</v>
      </c>
    </row>
    <row r="201" spans="1:12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48" t="str">
        <f>IF(AND(D201="Electronics",H201&gt;10),"Eligible","Not Eligible")</f>
        <v>Not Eligible</v>
      </c>
    </row>
    <row r="202" spans="1:12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48" t="str">
        <f>IF(AND(D202="Electronics",H202&gt;10),"Eligible","Not Eligible")</f>
        <v>Not Eligible</v>
      </c>
    </row>
    <row r="203" spans="1:12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48" t="str">
        <f>IF(AND(D203="Electronics",H203&gt;10),"Eligible","Not Eligible")</f>
        <v>Eligible</v>
      </c>
    </row>
    <row r="204" spans="1:12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48" t="str">
        <f>IF(AND(D204="Electronics",H204&gt;10),"Eligible","Not Eligible")</f>
        <v>Not Eligible</v>
      </c>
    </row>
    <row r="205" spans="1:12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48" t="str">
        <f>IF(AND(D205="Electronics",H205&gt;10),"Eligible","Not Eligible")</f>
        <v>Not Eligible</v>
      </c>
    </row>
    <row r="206" spans="1:12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48" t="str">
        <f>IF(AND(D206="Electronics",H206&gt;10),"Eligible","Not Eligible")</f>
        <v>Not Eligible</v>
      </c>
    </row>
    <row r="207" spans="1:12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48" t="str">
        <f>IF(AND(D207="Electronics",H207&gt;10),"Eligible","Not Eligible")</f>
        <v>Not Eligible</v>
      </c>
    </row>
    <row r="208" spans="1:12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48" t="str">
        <f>IF(AND(D208="Electronics",H208&gt;10),"Eligible","Not Eligible")</f>
        <v>Not Eligible</v>
      </c>
    </row>
    <row r="209" spans="1:12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48" t="str">
        <f>IF(AND(D209="Electronics",H209&gt;10),"Eligible","Not Eligible")</f>
        <v>Not Eligible</v>
      </c>
    </row>
    <row r="210" spans="1:12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48" t="str">
        <f>IF(AND(D210="Electronics",H210&gt;10),"Eligible","Not Eligible")</f>
        <v>Not Eligible</v>
      </c>
    </row>
    <row r="211" spans="1:12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48" t="str">
        <f>IF(AND(D211="Electronics",H211&gt;10),"Eligible","Not Eligible")</f>
        <v>Not Eligible</v>
      </c>
    </row>
    <row r="212" spans="1:12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48" t="str">
        <f>IF(AND(D212="Electronics",H212&gt;10),"Eligible","Not Eligible")</f>
        <v>Not Eligible</v>
      </c>
    </row>
    <row r="213" spans="1:12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48" t="str">
        <f>IF(AND(D213="Electronics",H213&gt;10),"Eligible","Not Eligible")</f>
        <v>Not Eligible</v>
      </c>
    </row>
    <row r="214" spans="1:12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48" t="str">
        <f>IF(AND(D214="Electronics",H214&gt;10),"Eligible","Not Eligible")</f>
        <v>Eligible</v>
      </c>
    </row>
    <row r="215" spans="1:12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48" t="str">
        <f>IF(AND(D215="Electronics",H215&gt;10),"Eligible","Not Eligible")</f>
        <v>Not Eligible</v>
      </c>
    </row>
    <row r="216" spans="1:12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48" t="str">
        <f>IF(AND(D216="Electronics",H216&gt;10),"Eligible","Not Eligible")</f>
        <v>Not Eligible</v>
      </c>
    </row>
    <row r="217" spans="1:12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48" t="str">
        <f>IF(AND(D217="Electronics",H217&gt;10),"Eligible","Not Eligible")</f>
        <v>Eligible</v>
      </c>
    </row>
    <row r="218" spans="1:12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48" t="str">
        <f>IF(AND(D218="Electronics",H218&gt;10),"Eligible","Not Eligible")</f>
        <v>Not Eligible</v>
      </c>
    </row>
    <row r="219" spans="1:12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48" t="str">
        <f>IF(AND(D219="Electronics",H219&gt;10),"Eligible","Not Eligible")</f>
        <v>Not Eligible</v>
      </c>
    </row>
    <row r="220" spans="1:12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48" t="str">
        <f>IF(AND(D220="Electronics",H220&gt;10),"Eligible","Not Eligible")</f>
        <v>Not Eligible</v>
      </c>
    </row>
    <row r="221" spans="1:12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48" t="str">
        <f>IF(AND(D221="Electronics",H221&gt;10),"Eligible","Not Eligible")</f>
        <v>Not Eligible</v>
      </c>
    </row>
    <row r="222" spans="1:12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48" t="str">
        <f>IF(AND(D222="Electronics",H222&gt;10),"Eligible","Not Eligible")</f>
        <v>Not Eligible</v>
      </c>
    </row>
    <row r="223" spans="1:12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48" t="str">
        <f>IF(AND(D223="Electronics",H223&gt;10),"Eligible","Not Eligible")</f>
        <v>Not Eligible</v>
      </c>
    </row>
    <row r="224" spans="1:12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48" t="str">
        <f>IF(AND(D224="Electronics",H224&gt;10),"Eligible","Not Eligible")</f>
        <v>Not Eligible</v>
      </c>
    </row>
    <row r="225" spans="1:12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48" t="str">
        <f>IF(AND(D225="Electronics",H225&gt;10),"Eligible","Not Eligible")</f>
        <v>Not Eligible</v>
      </c>
    </row>
    <row r="226" spans="1:12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48" t="str">
        <f>IF(AND(D226="Electronics",H226&gt;10),"Eligible","Not Eligible")</f>
        <v>Eligible</v>
      </c>
    </row>
    <row r="227" spans="1:12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48" t="str">
        <f>IF(AND(D227="Electronics",H227&gt;10),"Eligible","Not Eligible")</f>
        <v>Not Eligible</v>
      </c>
    </row>
    <row r="228" spans="1:12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48" t="str">
        <f>IF(AND(D228="Electronics",H228&gt;10),"Eligible","Not Eligible")</f>
        <v>Eligible</v>
      </c>
    </row>
    <row r="229" spans="1:12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48" t="str">
        <f>IF(AND(D229="Electronics",H229&gt;10),"Eligible","Not Eligible")</f>
        <v>Not Eligible</v>
      </c>
    </row>
    <row r="230" spans="1:12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48" t="str">
        <f>IF(AND(D230="Electronics",H230&gt;10),"Eligible","Not Eligible")</f>
        <v>Not Eligible</v>
      </c>
    </row>
    <row r="231" spans="1:12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48" t="str">
        <f>IF(AND(D231="Electronics",H231&gt;10),"Eligible","Not Eligible")</f>
        <v>Not Eligible</v>
      </c>
    </row>
    <row r="232" spans="1:12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48" t="str">
        <f>IF(AND(D232="Electronics",H232&gt;10),"Eligible","Not Eligible")</f>
        <v>Not Eligible</v>
      </c>
    </row>
    <row r="233" spans="1:12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48" t="str">
        <f>IF(AND(D233="Electronics",H233&gt;10),"Eligible","Not Eligible")</f>
        <v>Not Eligible</v>
      </c>
    </row>
    <row r="234" spans="1:12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48" t="str">
        <f>IF(AND(D234="Electronics",H234&gt;10),"Eligible","Not Eligible")</f>
        <v>Not Eligible</v>
      </c>
    </row>
    <row r="235" spans="1:12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48" t="str">
        <f>IF(AND(D235="Electronics",H235&gt;10),"Eligible","Not Eligible")</f>
        <v>Not Eligible</v>
      </c>
    </row>
    <row r="236" spans="1:12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48" t="str">
        <f>IF(AND(D236="Electronics",H236&gt;10),"Eligible","Not Eligible")</f>
        <v>Not Eligible</v>
      </c>
    </row>
    <row r="237" spans="1:12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48" t="str">
        <f>IF(AND(D237="Electronics",H237&gt;10),"Eligible","Not Eligible")</f>
        <v>Not Eligible</v>
      </c>
    </row>
    <row r="238" spans="1:12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48" t="str">
        <f>IF(AND(D238="Electronics",H238&gt;10),"Eligible","Not Eligible")</f>
        <v>Not Eligible</v>
      </c>
    </row>
    <row r="239" spans="1:12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48" t="str">
        <f>IF(AND(D239="Electronics",H239&gt;10),"Eligible","Not Eligible")</f>
        <v>Not Eligible</v>
      </c>
    </row>
    <row r="240" spans="1:12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48" t="str">
        <f>IF(AND(D240="Electronics",H240&gt;10),"Eligible","Not Eligible")</f>
        <v>Not Eligible</v>
      </c>
    </row>
    <row r="241" spans="1:12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48" t="str">
        <f>IF(AND(D241="Electronics",H241&gt;10),"Eligible","Not Eligible")</f>
        <v>Not Eligible</v>
      </c>
    </row>
    <row r="242" spans="1:12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48" t="str">
        <f>IF(AND(D242="Electronics",H242&gt;10),"Eligible","Not Eligible")</f>
        <v>Not Eligible</v>
      </c>
    </row>
    <row r="243" spans="1:12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48" t="str">
        <f>IF(AND(D243="Electronics",H243&gt;10),"Eligible","Not Eligible")</f>
        <v>Not Eligible</v>
      </c>
    </row>
    <row r="244" spans="1:12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48" t="str">
        <f>IF(AND(D244="Electronics",H244&gt;10),"Eligible","Not Eligible")</f>
        <v>Eligible</v>
      </c>
    </row>
    <row r="245" spans="1:12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48" t="str">
        <f>IF(AND(D245="Electronics",H245&gt;10),"Eligible","Not Eligible")</f>
        <v>Not Eligible</v>
      </c>
    </row>
    <row r="246" spans="1:12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48" t="str">
        <f>IF(AND(D246="Electronics",H246&gt;10),"Eligible","Not Eligible")</f>
        <v>Not Eligible</v>
      </c>
    </row>
    <row r="247" spans="1:12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48" t="str">
        <f>IF(AND(D247="Electronics",H247&gt;10),"Eligible","Not Eligible")</f>
        <v>Not Eligible</v>
      </c>
    </row>
    <row r="248" spans="1:12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48" t="str">
        <f>IF(AND(D248="Electronics",H248&gt;10),"Eligible","Not Eligible")</f>
        <v>Not Eligible</v>
      </c>
    </row>
    <row r="249" spans="1:12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48" t="str">
        <f>IF(AND(D249="Electronics",H249&gt;10),"Eligible","Not Eligible")</f>
        <v>Not Eligible</v>
      </c>
    </row>
    <row r="250" spans="1:12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48" t="str">
        <f>IF(AND(D250="Electronics",H250&gt;10),"Eligible","Not Eligible")</f>
        <v>Eligible</v>
      </c>
    </row>
    <row r="251" spans="1:12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48" t="str">
        <f>IF(AND(D251="Electronics",H251&gt;10),"Eligible","Not Eligible")</f>
        <v>Not Eligible</v>
      </c>
    </row>
    <row r="252" spans="1:12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48" t="str">
        <f>IF(AND(D252="Electronics",H252&gt;10),"Eligible","Not Eligible")</f>
        <v>Not Eligible</v>
      </c>
    </row>
    <row r="253" spans="1:12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48" t="str">
        <f>IF(AND(D253="Electronics",H253&gt;10),"Eligible","Not Eligible")</f>
        <v>Not Eligible</v>
      </c>
    </row>
    <row r="254" spans="1:12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48" t="str">
        <f>IF(AND(D254="Electronics",H254&gt;10),"Eligible","Not Eligible")</f>
        <v>Not Eligible</v>
      </c>
    </row>
    <row r="255" spans="1:12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48" t="str">
        <f>IF(AND(D255="Electronics",H255&gt;10),"Eligible","Not Eligible")</f>
        <v>Not Eligible</v>
      </c>
    </row>
    <row r="256" spans="1:12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48" t="str">
        <f>IF(AND(D256="Electronics",H256&gt;10),"Eligible","Not Eligible")</f>
        <v>Not Eligible</v>
      </c>
    </row>
    <row r="257" spans="1:12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48" t="str">
        <f>IF(AND(D257="Electronics",H257&gt;10),"Eligible","Not Eligible")</f>
        <v>Not Eligible</v>
      </c>
    </row>
    <row r="258" spans="1:12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48" t="str">
        <f>IF(AND(D258="Electronics",H258&gt;10),"Eligible","Not Eligible")</f>
        <v>Eligible</v>
      </c>
    </row>
    <row r="259" spans="1:12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48" t="str">
        <f>IF(AND(D259="Electronics",H259&gt;10),"Eligible","Not Eligible")</f>
        <v>Not Eligible</v>
      </c>
    </row>
    <row r="260" spans="1:12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48" t="str">
        <f>IF(AND(D260="Electronics",H260&gt;10),"Eligible","Not Eligible")</f>
        <v>Eligible</v>
      </c>
    </row>
    <row r="261" spans="1:12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48" t="str">
        <f>IF(AND(D261="Electronics",H261&gt;10),"Eligible","Not Eligible")</f>
        <v>Not Eligible</v>
      </c>
    </row>
    <row r="262" spans="1:12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48" t="str">
        <f>IF(AND(D262="Electronics",H262&gt;10),"Eligible","Not Eligible")</f>
        <v>Not Eligible</v>
      </c>
    </row>
    <row r="263" spans="1:12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48" t="str">
        <f>IF(AND(D263="Electronics",H263&gt;10),"Eligible","Not Eligible")</f>
        <v>Not Eligible</v>
      </c>
    </row>
    <row r="264" spans="1:12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48" t="str">
        <f>IF(AND(D264="Electronics",H264&gt;10),"Eligible","Not Eligible")</f>
        <v>Not Eligible</v>
      </c>
    </row>
    <row r="265" spans="1:12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48" t="str">
        <f>IF(AND(D265="Electronics",H265&gt;10),"Eligible","Not Eligible")</f>
        <v>Not Eligible</v>
      </c>
    </row>
    <row r="266" spans="1:12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48" t="str">
        <f>IF(AND(D266="Electronics",H266&gt;10),"Eligible","Not Eligible")</f>
        <v>Not Eligible</v>
      </c>
    </row>
    <row r="267" spans="1:12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48" t="str">
        <f>IF(AND(D267="Electronics",H267&gt;10),"Eligible","Not Eligible")</f>
        <v>Not Eligible</v>
      </c>
    </row>
    <row r="268" spans="1:12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48" t="str">
        <f>IF(AND(D268="Electronics",H268&gt;10),"Eligible","Not Eligible")</f>
        <v>Not Eligible</v>
      </c>
    </row>
    <row r="269" spans="1:12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48" t="str">
        <f>IF(AND(D269="Electronics",H269&gt;10),"Eligible","Not Eligible")</f>
        <v>Eligible</v>
      </c>
    </row>
    <row r="270" spans="1:12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48" t="str">
        <f>IF(AND(D270="Electronics",H270&gt;10),"Eligible","Not Eligible")</f>
        <v>Not Eligible</v>
      </c>
    </row>
    <row r="271" spans="1:12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48" t="str">
        <f>IF(AND(D271="Electronics",H271&gt;10),"Eligible","Not Eligible")</f>
        <v>Not Eligible</v>
      </c>
    </row>
    <row r="272" spans="1:12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48" t="str">
        <f>IF(AND(D272="Electronics",H272&gt;10),"Eligible","Not Eligible")</f>
        <v>Eligible</v>
      </c>
    </row>
    <row r="273" spans="1:12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48" t="str">
        <f>IF(AND(D273="Electronics",H273&gt;10),"Eligible","Not Eligible")</f>
        <v>Not Eligible</v>
      </c>
    </row>
    <row r="274" spans="1:12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48" t="str">
        <f>IF(AND(D274="Electronics",H274&gt;10),"Eligible","Not Eligible")</f>
        <v>Eligible</v>
      </c>
    </row>
    <row r="275" spans="1:12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48" t="str">
        <f>IF(AND(D275="Electronics",H275&gt;10),"Eligible","Not Eligible")</f>
        <v>Eligible</v>
      </c>
    </row>
    <row r="276" spans="1:12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48" t="str">
        <f>IF(AND(D276="Electronics",H276&gt;10),"Eligible","Not Eligible")</f>
        <v>Not Eligible</v>
      </c>
    </row>
    <row r="277" spans="1:12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48" t="str">
        <f>IF(AND(D277="Electronics",H277&gt;10),"Eligible","Not Eligible")</f>
        <v>Not Eligible</v>
      </c>
    </row>
    <row r="278" spans="1:12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48" t="str">
        <f>IF(AND(D278="Electronics",H278&gt;10),"Eligible","Not Eligible")</f>
        <v>Not Eligible</v>
      </c>
    </row>
    <row r="279" spans="1:12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48" t="str">
        <f>IF(AND(D279="Electronics",H279&gt;10),"Eligible","Not Eligible")</f>
        <v>Not Eligible</v>
      </c>
    </row>
    <row r="280" spans="1:12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48" t="str">
        <f>IF(AND(D280="Electronics",H280&gt;10),"Eligible","Not Eligible")</f>
        <v>Not Eligible</v>
      </c>
    </row>
    <row r="281" spans="1:12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48" t="str">
        <f>IF(AND(D281="Electronics",H281&gt;10),"Eligible","Not Eligible")</f>
        <v>Not Eligible</v>
      </c>
    </row>
    <row r="282" spans="1:12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48" t="str">
        <f>IF(AND(D282="Electronics",H282&gt;10),"Eligible","Not Eligible")</f>
        <v>Not Eligible</v>
      </c>
    </row>
    <row r="283" spans="1:12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48" t="str">
        <f>IF(AND(D283="Electronics",H283&gt;10),"Eligible","Not Eligible")</f>
        <v>Not Eligible</v>
      </c>
    </row>
    <row r="284" spans="1:12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48" t="str">
        <f>IF(AND(D284="Electronics",H284&gt;10),"Eligible","Not Eligible")</f>
        <v>Not Eligible</v>
      </c>
    </row>
    <row r="285" spans="1:12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48" t="str">
        <f>IF(AND(D285="Electronics",H285&gt;10),"Eligible","Not Eligible")</f>
        <v>Not Eligible</v>
      </c>
    </row>
    <row r="286" spans="1:12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48" t="str">
        <f>IF(AND(D286="Electronics",H286&gt;10),"Eligible","Not Eligible")</f>
        <v>Not Eligible</v>
      </c>
    </row>
    <row r="287" spans="1:12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48" t="str">
        <f>IF(AND(D287="Electronics",H287&gt;10),"Eligible","Not Eligible")</f>
        <v>Not Eligible</v>
      </c>
    </row>
    <row r="288" spans="1:12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48" t="str">
        <f>IF(AND(D288="Electronics",H288&gt;10),"Eligible","Not Eligible")</f>
        <v>Not Eligible</v>
      </c>
    </row>
    <row r="289" spans="1:12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48" t="str">
        <f>IF(AND(D289="Electronics",H289&gt;10),"Eligible","Not Eligible")</f>
        <v>Not Eligible</v>
      </c>
    </row>
    <row r="290" spans="1:12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48" t="str">
        <f>IF(AND(D290="Electronics",H290&gt;10),"Eligible","Not Eligible")</f>
        <v>Not Eligible</v>
      </c>
    </row>
    <row r="291" spans="1:12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48" t="str">
        <f>IF(AND(D291="Electronics",H291&gt;10),"Eligible","Not Eligible")</f>
        <v>Eligible</v>
      </c>
    </row>
    <row r="292" spans="1:12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48" t="str">
        <f>IF(AND(D292="Electronics",H292&gt;10),"Eligible","Not Eligible")</f>
        <v>Not Eligible</v>
      </c>
    </row>
    <row r="293" spans="1:12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48" t="str">
        <f>IF(AND(D293="Electronics",H293&gt;10),"Eligible","Not Eligible")</f>
        <v>Not Eligible</v>
      </c>
    </row>
    <row r="294" spans="1:12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48" t="str">
        <f>IF(AND(D294="Electronics",H294&gt;10),"Eligible","Not Eligible")</f>
        <v>Not Eligible</v>
      </c>
    </row>
    <row r="295" spans="1:12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48" t="str">
        <f>IF(AND(D295="Electronics",H295&gt;10),"Eligible","Not Eligible")</f>
        <v>Not Eligible</v>
      </c>
    </row>
    <row r="296" spans="1:12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48" t="str">
        <f>IF(AND(D296="Electronics",H296&gt;10),"Eligible","Not Eligible")</f>
        <v>Not Eligible</v>
      </c>
    </row>
    <row r="297" spans="1:12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48" t="str">
        <f>IF(AND(D297="Electronics",H297&gt;10),"Eligible","Not Eligible")</f>
        <v>Not Eligible</v>
      </c>
    </row>
    <row r="298" spans="1:12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48" t="str">
        <f>IF(AND(D298="Electronics",H298&gt;10),"Eligible","Not Eligible")</f>
        <v>Not Eligible</v>
      </c>
    </row>
    <row r="299" spans="1:12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48" t="str">
        <f>IF(AND(D299="Electronics",H299&gt;10),"Eligible","Not Eligible")</f>
        <v>Not Eligible</v>
      </c>
    </row>
    <row r="300" spans="1:12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48" t="str">
        <f>IF(AND(D300="Electronics",H300&gt;10),"Eligible","Not Eligible")</f>
        <v>Not Eligible</v>
      </c>
    </row>
    <row r="301" spans="1:12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48" t="str">
        <f>IF(AND(D301="Electronics",H301&gt;10),"Eligible","Not Eligible")</f>
        <v>Not Eligible</v>
      </c>
    </row>
    <row r="302" spans="1:12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48" t="str">
        <f>IF(AND(D302="Electronics",H302&gt;10),"Eligible","Not Eligible")</f>
        <v>Not Eligible</v>
      </c>
    </row>
    <row r="303" spans="1:12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48" t="str">
        <f>IF(AND(D303="Electronics",H303&gt;10),"Eligible","Not Eligible")</f>
        <v>Eligible</v>
      </c>
    </row>
    <row r="304" spans="1:12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48" t="str">
        <f>IF(AND(D304="Electronics",H304&gt;10),"Eligible","Not Eligible")</f>
        <v>Not Eligible</v>
      </c>
    </row>
    <row r="305" spans="1:12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48" t="str">
        <f>IF(AND(D305="Electronics",H305&gt;10),"Eligible","Not Eligible")</f>
        <v>Not Eligible</v>
      </c>
    </row>
    <row r="306" spans="1:12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48" t="str">
        <f>IF(AND(D306="Electronics",H306&gt;10),"Eligible","Not Eligible")</f>
        <v>Eligible</v>
      </c>
    </row>
    <row r="307" spans="1:12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48" t="str">
        <f>IF(AND(D307="Electronics",H307&gt;10),"Eligible","Not Eligible")</f>
        <v>Not Eligible</v>
      </c>
    </row>
    <row r="308" spans="1:12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48" t="str">
        <f>IF(AND(D308="Electronics",H308&gt;10),"Eligible","Not Eligible")</f>
        <v>Eligible</v>
      </c>
    </row>
    <row r="309" spans="1:12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48" t="str">
        <f>IF(AND(D309="Electronics",H309&gt;10),"Eligible","Not Eligible")</f>
        <v>Not Eligible</v>
      </c>
    </row>
    <row r="310" spans="1:12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48" t="str">
        <f>IF(AND(D310="Electronics",H310&gt;10),"Eligible","Not Eligible")</f>
        <v>Not Eligible</v>
      </c>
    </row>
    <row r="311" spans="1:12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48" t="str">
        <f>IF(AND(D311="Electronics",H311&gt;10),"Eligible","Not Eligible")</f>
        <v>Not Eligible</v>
      </c>
    </row>
    <row r="312" spans="1:12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48" t="str">
        <f>IF(AND(D312="Electronics",H312&gt;10),"Eligible","Not Eligible")</f>
        <v>Not Eligible</v>
      </c>
    </row>
    <row r="313" spans="1:12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48" t="str">
        <f>IF(AND(D313="Electronics",H313&gt;10),"Eligible","Not Eligible")</f>
        <v>Not Eligible</v>
      </c>
    </row>
    <row r="314" spans="1:12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48" t="str">
        <f>IF(AND(D314="Electronics",H314&gt;10),"Eligible","Not Eligible")</f>
        <v>Not Eligible</v>
      </c>
    </row>
    <row r="315" spans="1:12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48" t="str">
        <f>IF(AND(D315="Electronics",H315&gt;10),"Eligible","Not Eligible")</f>
        <v>Not Eligible</v>
      </c>
    </row>
    <row r="316" spans="1:12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48" t="str">
        <f>IF(AND(D316="Electronics",H316&gt;10),"Eligible","Not Eligible")</f>
        <v>Not Eligible</v>
      </c>
    </row>
    <row r="317" spans="1:12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48" t="str">
        <f>IF(AND(D317="Electronics",H317&gt;10),"Eligible","Not Eligible")</f>
        <v>Not Eligible</v>
      </c>
    </row>
    <row r="318" spans="1:12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48" t="str">
        <f>IF(AND(D318="Electronics",H318&gt;10),"Eligible","Not Eligible")</f>
        <v>Not Eligible</v>
      </c>
    </row>
    <row r="319" spans="1:12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48" t="str">
        <f>IF(AND(D319="Electronics",H319&gt;10),"Eligible","Not Eligible")</f>
        <v>Not Eligible</v>
      </c>
    </row>
    <row r="320" spans="1:12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48" t="str">
        <f>IF(AND(D320="Electronics",H320&gt;10),"Eligible","Not Eligible")</f>
        <v>Not Eligible</v>
      </c>
    </row>
    <row r="321" spans="1:12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48" t="str">
        <f>IF(AND(D321="Electronics",H321&gt;10),"Eligible","Not Eligible")</f>
        <v>Not Eligible</v>
      </c>
    </row>
    <row r="322" spans="1:12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48" t="str">
        <f>IF(AND(D322="Electronics",H322&gt;10),"Eligible","Not Eligible")</f>
        <v>Not Eligible</v>
      </c>
    </row>
    <row r="323" spans="1:12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48" t="str">
        <f>IF(AND(D323="Electronics",H323&gt;10),"Eligible","Not Eligible")</f>
        <v>Not Eligible</v>
      </c>
    </row>
    <row r="324" spans="1:12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48" t="str">
        <f>IF(AND(D324="Electronics",H324&gt;10),"Eligible","Not Eligible")</f>
        <v>Not Eligible</v>
      </c>
    </row>
    <row r="325" spans="1:12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48" t="str">
        <f>IF(AND(D325="Electronics",H325&gt;10),"Eligible","Not Eligible")</f>
        <v>Not Eligible</v>
      </c>
    </row>
    <row r="326" spans="1:12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48" t="str">
        <f>IF(AND(D326="Electronics",H326&gt;10),"Eligible","Not Eligible")</f>
        <v>Eligible</v>
      </c>
    </row>
    <row r="327" spans="1:12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48" t="str">
        <f>IF(AND(D327="Electronics",H327&gt;10),"Eligible","Not Eligible")</f>
        <v>Not Eligible</v>
      </c>
    </row>
    <row r="328" spans="1:12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48" t="str">
        <f>IF(AND(D328="Electronics",H328&gt;10),"Eligible","Not Eligible")</f>
        <v>Not Eligible</v>
      </c>
    </row>
    <row r="329" spans="1:12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48" t="str">
        <f>IF(AND(D329="Electronics",H329&gt;10),"Eligible","Not Eligible")</f>
        <v>Not Eligible</v>
      </c>
    </row>
    <row r="330" spans="1:12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48" t="str">
        <f>IF(AND(D330="Electronics",H330&gt;10),"Eligible","Not Eligible")</f>
        <v>Not Eligible</v>
      </c>
    </row>
    <row r="331" spans="1:12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48" t="str">
        <f>IF(AND(D331="Electronics",H331&gt;10),"Eligible","Not Eligible")</f>
        <v>Not Eligible</v>
      </c>
    </row>
    <row r="332" spans="1:12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48" t="str">
        <f>IF(AND(D332="Electronics",H332&gt;10),"Eligible","Not Eligible")</f>
        <v>Not Eligible</v>
      </c>
    </row>
    <row r="333" spans="1:12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48" t="str">
        <f>IF(AND(D333="Electronics",H333&gt;10),"Eligible","Not Eligible")</f>
        <v>Not Eligible</v>
      </c>
    </row>
    <row r="334" spans="1:12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48" t="str">
        <f>IF(AND(D334="Electronics",H334&gt;10),"Eligible","Not Eligible")</f>
        <v>Not Eligible</v>
      </c>
    </row>
    <row r="335" spans="1:12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48" t="str">
        <f>IF(AND(D335="Electronics",H335&gt;10),"Eligible","Not Eligible")</f>
        <v>Not Eligible</v>
      </c>
    </row>
    <row r="336" spans="1:12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48" t="str">
        <f>IF(AND(D336="Electronics",H336&gt;10),"Eligible","Not Eligible")</f>
        <v>Not Eligible</v>
      </c>
    </row>
    <row r="337" spans="1:12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48" t="str">
        <f>IF(AND(D337="Electronics",H337&gt;10),"Eligible","Not Eligible")</f>
        <v>Not Eligible</v>
      </c>
    </row>
    <row r="338" spans="1:12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48" t="str">
        <f>IF(AND(D338="Electronics",H338&gt;10),"Eligible","Not Eligible")</f>
        <v>Not Eligible</v>
      </c>
    </row>
    <row r="339" spans="1:12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48" t="str">
        <f>IF(AND(D339="Electronics",H339&gt;10),"Eligible","Not Eligible")</f>
        <v>Not Eligible</v>
      </c>
    </row>
    <row r="340" spans="1:12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48" t="str">
        <f>IF(AND(D340="Electronics",H340&gt;10),"Eligible","Not Eligible")</f>
        <v>Not Eligible</v>
      </c>
    </row>
    <row r="341" spans="1:12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48" t="str">
        <f>IF(AND(D341="Electronics",H341&gt;10),"Eligible","Not Eligible")</f>
        <v>Not Eligible</v>
      </c>
    </row>
    <row r="342" spans="1:12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48" t="str">
        <f>IF(AND(D342="Electronics",H342&gt;10),"Eligible","Not Eligible")</f>
        <v>Not Eligible</v>
      </c>
    </row>
    <row r="343" spans="1:12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48" t="str">
        <f>IF(AND(D343="Electronics",H343&gt;10),"Eligible","Not Eligible")</f>
        <v>Eligible</v>
      </c>
    </row>
    <row r="344" spans="1:12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48" t="str">
        <f>IF(AND(D344="Electronics",H344&gt;10),"Eligible","Not Eligible")</f>
        <v>Eligible</v>
      </c>
    </row>
    <row r="345" spans="1:12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48" t="str">
        <f>IF(AND(D345="Electronics",H345&gt;10),"Eligible","Not Eligible")</f>
        <v>Not Eligible</v>
      </c>
    </row>
    <row r="346" spans="1:12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48" t="str">
        <f>IF(AND(D346="Electronics",H346&gt;10),"Eligible","Not Eligible")</f>
        <v>Not Eligible</v>
      </c>
    </row>
    <row r="347" spans="1:12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48" t="str">
        <f>IF(AND(D347="Electronics",H347&gt;10),"Eligible","Not Eligible")</f>
        <v>Not Eligible</v>
      </c>
    </row>
    <row r="348" spans="1:12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48" t="str">
        <f>IF(AND(D348="Electronics",H348&gt;10),"Eligible","Not Eligible")</f>
        <v>Eligible</v>
      </c>
    </row>
    <row r="349" spans="1:12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48" t="str">
        <f>IF(AND(D349="Electronics",H349&gt;10),"Eligible","Not Eligible")</f>
        <v>Not Eligible</v>
      </c>
    </row>
    <row r="350" spans="1:12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48" t="str">
        <f>IF(AND(D350="Electronics",H350&gt;10),"Eligible","Not Eligible")</f>
        <v>Not Eligible</v>
      </c>
    </row>
    <row r="351" spans="1:12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48" t="str">
        <f>IF(AND(D351="Electronics",H351&gt;10),"Eligible","Not Eligible")</f>
        <v>Not Eligible</v>
      </c>
    </row>
    <row r="352" spans="1:12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48" t="str">
        <f>IF(AND(D352="Electronics",H352&gt;10),"Eligible","Not Eligible")</f>
        <v>Not Eligible</v>
      </c>
    </row>
    <row r="353" spans="1:12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48" t="str">
        <f>IF(AND(D353="Electronics",H353&gt;10),"Eligible","Not Eligible")</f>
        <v>Not Eligible</v>
      </c>
    </row>
    <row r="354" spans="1:12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48" t="str">
        <f>IF(AND(D354="Electronics",H354&gt;10),"Eligible","Not Eligible")</f>
        <v>Not Eligible</v>
      </c>
    </row>
    <row r="355" spans="1:12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48" t="str">
        <f>IF(AND(D355="Electronics",H355&gt;10),"Eligible","Not Eligible")</f>
        <v>Eligible</v>
      </c>
    </row>
    <row r="356" spans="1:12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48" t="str">
        <f>IF(AND(D356="Electronics",H356&gt;10),"Eligible","Not Eligible")</f>
        <v>Not Eligible</v>
      </c>
    </row>
    <row r="357" spans="1:12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48" t="str">
        <f>IF(AND(D357="Electronics",H357&gt;10),"Eligible","Not Eligible")</f>
        <v>Not Eligible</v>
      </c>
    </row>
    <row r="358" spans="1:12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48" t="str">
        <f>IF(AND(D358="Electronics",H358&gt;10),"Eligible","Not Eligible")</f>
        <v>Not Eligible</v>
      </c>
    </row>
    <row r="359" spans="1:12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48" t="str">
        <f>IF(AND(D359="Electronics",H359&gt;10),"Eligible","Not Eligible")</f>
        <v>Not Eligible</v>
      </c>
    </row>
    <row r="360" spans="1:12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48" t="str">
        <f>IF(AND(D360="Electronics",H360&gt;10),"Eligible","Not Eligible")</f>
        <v>Not Eligible</v>
      </c>
    </row>
    <row r="361" spans="1:12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48" t="str">
        <f>IF(AND(D361="Electronics",H361&gt;10),"Eligible","Not Eligible")</f>
        <v>Not Eligible</v>
      </c>
    </row>
    <row r="362" spans="1:12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48" t="str">
        <f>IF(AND(D362="Electronics",H362&gt;10),"Eligible","Not Eligible")</f>
        <v>Not Eligible</v>
      </c>
    </row>
    <row r="363" spans="1:12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48" t="str">
        <f>IF(AND(D363="Electronics",H363&gt;10),"Eligible","Not Eligible")</f>
        <v>Not Eligible</v>
      </c>
    </row>
    <row r="364" spans="1:12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48" t="str">
        <f>IF(AND(D364="Electronics",H364&gt;10),"Eligible","Not Eligible")</f>
        <v>Not Eligible</v>
      </c>
    </row>
    <row r="365" spans="1:12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48" t="str">
        <f>IF(AND(D365="Electronics",H365&gt;10),"Eligible","Not Eligible")</f>
        <v>Not Eligible</v>
      </c>
    </row>
    <row r="366" spans="1:12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48" t="str">
        <f>IF(AND(D366="Electronics",H366&gt;10),"Eligible","Not Eligible")</f>
        <v>Not Eligible</v>
      </c>
    </row>
    <row r="367" spans="1:12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48" t="str">
        <f>IF(AND(D367="Electronics",H367&gt;10),"Eligible","Not Eligible")</f>
        <v>Not Eligible</v>
      </c>
    </row>
    <row r="368" spans="1:12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48" t="str">
        <f>IF(AND(D368="Electronics",H368&gt;10),"Eligible","Not Eligible")</f>
        <v>Not Eligible</v>
      </c>
    </row>
    <row r="369" spans="1:12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48" t="str">
        <f>IF(AND(D369="Electronics",H369&gt;10),"Eligible","Not Eligible")</f>
        <v>Not Eligible</v>
      </c>
    </row>
    <row r="370" spans="1:12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48" t="str">
        <f>IF(AND(D370="Electronics",H370&gt;10),"Eligible","Not Eligible")</f>
        <v>Not Eligible</v>
      </c>
    </row>
    <row r="371" spans="1:12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48" t="str">
        <f>IF(AND(D371="Electronics",H371&gt;10),"Eligible","Not Eligible")</f>
        <v>Not Eligible</v>
      </c>
    </row>
    <row r="372" spans="1:12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48" t="str">
        <f>IF(AND(D372="Electronics",H372&gt;10),"Eligible","Not Eligible")</f>
        <v>Not Eligible</v>
      </c>
    </row>
    <row r="373" spans="1:12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48" t="str">
        <f>IF(AND(D373="Electronics",H373&gt;10),"Eligible","Not Eligible")</f>
        <v>Not Eligible</v>
      </c>
    </row>
    <row r="374" spans="1:12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48" t="str">
        <f>IF(AND(D374="Electronics",H374&gt;10),"Eligible","Not Eligible")</f>
        <v>Eligible</v>
      </c>
    </row>
    <row r="375" spans="1:12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48" t="str">
        <f>IF(AND(D375="Electronics",H375&gt;10),"Eligible","Not Eligible")</f>
        <v>Not Eligible</v>
      </c>
    </row>
    <row r="376" spans="1:12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48" t="str">
        <f>IF(AND(D376="Electronics",H376&gt;10),"Eligible","Not Eligible")</f>
        <v>Not Eligible</v>
      </c>
    </row>
    <row r="377" spans="1:12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48" t="str">
        <f>IF(AND(D377="Electronics",H377&gt;10),"Eligible","Not Eligible")</f>
        <v>Not Eligible</v>
      </c>
    </row>
    <row r="378" spans="1:12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48" t="str">
        <f>IF(AND(D378="Electronics",H378&gt;10),"Eligible","Not Eligible")</f>
        <v>Not Eligible</v>
      </c>
    </row>
    <row r="379" spans="1:12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48" t="str">
        <f>IF(AND(D379="Electronics",H379&gt;10),"Eligible","Not Eligible")</f>
        <v>Eligible</v>
      </c>
    </row>
    <row r="380" spans="1:12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48" t="str">
        <f>IF(AND(D380="Electronics",H380&gt;10),"Eligible","Not Eligible")</f>
        <v>Not Eligible</v>
      </c>
    </row>
    <row r="381" spans="1:12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48" t="str">
        <f>IF(AND(D381="Electronics",H381&gt;10),"Eligible","Not Eligible")</f>
        <v>Not Eligible</v>
      </c>
    </row>
    <row r="382" spans="1:12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48" t="str">
        <f>IF(AND(D382="Electronics",H382&gt;10),"Eligible","Not Eligible")</f>
        <v>Not Eligible</v>
      </c>
    </row>
    <row r="383" spans="1:12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48" t="str">
        <f>IF(AND(D383="Electronics",H383&gt;10),"Eligible","Not Eligible")</f>
        <v>Not Eligible</v>
      </c>
    </row>
    <row r="384" spans="1:12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48" t="str">
        <f>IF(AND(D384="Electronics",H384&gt;10),"Eligible","Not Eligible")</f>
        <v>Not Eligible</v>
      </c>
    </row>
    <row r="385" spans="1:12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48" t="str">
        <f>IF(AND(D385="Electronics",H385&gt;10),"Eligible","Not Eligible")</f>
        <v>Not Eligible</v>
      </c>
    </row>
    <row r="386" spans="1:12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48" t="str">
        <f>IF(AND(D386="Electronics",H386&gt;10),"Eligible","Not Eligible")</f>
        <v>Not Eligible</v>
      </c>
    </row>
    <row r="387" spans="1:12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48" t="str">
        <f>IF(AND(D387="Electronics",H387&gt;10),"Eligible","Not Eligible")</f>
        <v>Not Eligible</v>
      </c>
    </row>
    <row r="388" spans="1:12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48" t="str">
        <f>IF(AND(D388="Electronics",H388&gt;10),"Eligible","Not Eligible")</f>
        <v>Not Eligible</v>
      </c>
    </row>
    <row r="389" spans="1:12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48" t="str">
        <f>IF(AND(D389="Electronics",H389&gt;10),"Eligible","Not Eligible")</f>
        <v>Not Eligible</v>
      </c>
    </row>
    <row r="390" spans="1:12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48" t="str">
        <f>IF(AND(D390="Electronics",H390&gt;10),"Eligible","Not Eligible")</f>
        <v>Not Eligible</v>
      </c>
    </row>
    <row r="391" spans="1:12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48" t="str">
        <f>IF(AND(D391="Electronics",H391&gt;10),"Eligible","Not Eligible")</f>
        <v>Not Eligible</v>
      </c>
    </row>
    <row r="392" spans="1:12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48" t="str">
        <f>IF(AND(D392="Electronics",H392&gt;10),"Eligible","Not Eligible")</f>
        <v>Not Eligible</v>
      </c>
    </row>
    <row r="393" spans="1:12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48" t="str">
        <f>IF(AND(D393="Electronics",H393&gt;10),"Eligible","Not Eligible")</f>
        <v>Not Eligible</v>
      </c>
    </row>
    <row r="394" spans="1:12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48" t="str">
        <f>IF(AND(D394="Electronics",H394&gt;10),"Eligible","Not Eligible")</f>
        <v>Eligible</v>
      </c>
    </row>
    <row r="395" spans="1:12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48" t="str">
        <f>IF(AND(D395="Electronics",H395&gt;10),"Eligible","Not Eligible")</f>
        <v>Not Eligible</v>
      </c>
    </row>
    <row r="396" spans="1:12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48" t="str">
        <f>IF(AND(D396="Electronics",H396&gt;10),"Eligible","Not Eligible")</f>
        <v>Not Eligible</v>
      </c>
    </row>
    <row r="397" spans="1:12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48" t="str">
        <f>IF(AND(D397="Electronics",H397&gt;10),"Eligible","Not Eligible")</f>
        <v>Not Eligible</v>
      </c>
    </row>
    <row r="398" spans="1:12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48" t="str">
        <f>IF(AND(D398="Electronics",H398&gt;10),"Eligible","Not Eligible")</f>
        <v>Not Eligible</v>
      </c>
    </row>
    <row r="399" spans="1:12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48" t="str">
        <f>IF(AND(D399="Electronics",H399&gt;10),"Eligible","Not Eligible")</f>
        <v>Not Eligible</v>
      </c>
    </row>
    <row r="400" spans="1:12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48" t="str">
        <f>IF(AND(D400="Electronics",H400&gt;10),"Eligible","Not Eligible")</f>
        <v>Not Eligible</v>
      </c>
    </row>
    <row r="401" spans="1:12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48" t="str">
        <f>IF(AND(D401="Electronics",H401&gt;10),"Eligible","Not Eligible")</f>
        <v>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9A37-DF37-4416-8535-59A1863A27E0}">
  <dimension ref="A1:L401"/>
  <sheetViews>
    <sheetView zoomScale="80" zoomScaleNormal="80" workbookViewId="0">
      <selection activeCell="L1" sqref="L1:L401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3" width="14.44140625" bestFit="1" customWidth="1"/>
  </cols>
  <sheetData>
    <row r="1" spans="1:12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21" t="s">
        <v>69</v>
      </c>
    </row>
    <row r="2" spans="1:12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6" t="s">
        <v>15</v>
      </c>
      <c r="L2" s="15" t="str">
        <f>IF(OR(C2="Mumbai",H2&gt;=15),"Priority", "Normal")</f>
        <v>Priority</v>
      </c>
    </row>
    <row r="3" spans="1:12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6" t="s">
        <v>20</v>
      </c>
      <c r="L3" s="15" t="str">
        <f>IF(OR(C3="Mumbai",H3&gt;=15),"Priority", "Normal")</f>
        <v>Normal</v>
      </c>
    </row>
    <row r="4" spans="1:12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6" t="s">
        <v>24</v>
      </c>
      <c r="L4" s="15" t="str">
        <f>IF(OR(C4="Mumbai",H4&gt;=15),"Priority", "Normal")</f>
        <v>Priority</v>
      </c>
    </row>
    <row r="5" spans="1:12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6" t="s">
        <v>20</v>
      </c>
      <c r="L5" s="15" t="str">
        <f>IF(OR(C5="Mumbai",H5&gt;=15),"Priority", "Normal")</f>
        <v>Normal</v>
      </c>
    </row>
    <row r="6" spans="1:12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6" t="s">
        <v>24</v>
      </c>
      <c r="L6" s="15" t="str">
        <f>IF(OR(C6="Mumbai",H6&gt;=15),"Priority", "Normal")</f>
        <v>Normal</v>
      </c>
    </row>
    <row r="7" spans="1:12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6" t="s">
        <v>29</v>
      </c>
      <c r="L7" s="15" t="str">
        <f>IF(OR(C7="Mumbai",H7&gt;=15),"Priority", "Normal")</f>
        <v>Normal</v>
      </c>
    </row>
    <row r="8" spans="1:12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6" t="s">
        <v>24</v>
      </c>
      <c r="L8" s="15" t="str">
        <f>IF(OR(C8="Mumbai",H8&gt;=15),"Priority", "Normal")</f>
        <v>Normal</v>
      </c>
    </row>
    <row r="9" spans="1:12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6" t="s">
        <v>24</v>
      </c>
      <c r="L9" s="15" t="str">
        <f>IF(OR(C9="Mumbai",H9&gt;=15),"Priority", "Normal")</f>
        <v>Normal</v>
      </c>
    </row>
    <row r="10" spans="1:12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6" t="s">
        <v>24</v>
      </c>
      <c r="L10" s="15" t="str">
        <f>IF(OR(C10="Mumbai",H10&gt;=15),"Priority", "Normal")</f>
        <v>Normal</v>
      </c>
    </row>
    <row r="11" spans="1:12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6" t="s">
        <v>15</v>
      </c>
      <c r="L11" s="15" t="str">
        <f>IF(OR(C11="Mumbai",H11&gt;=15),"Priority", "Normal")</f>
        <v>Normal</v>
      </c>
    </row>
    <row r="12" spans="1:12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6" t="s">
        <v>15</v>
      </c>
      <c r="L12" s="15" t="str">
        <f>IF(OR(C12="Mumbai",H12&gt;=15),"Priority", "Normal")</f>
        <v>Normal</v>
      </c>
    </row>
    <row r="13" spans="1:12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6" t="s">
        <v>29</v>
      </c>
      <c r="L13" s="15" t="str">
        <f>IF(OR(C13="Mumbai",H13&gt;=15),"Priority", "Normal")</f>
        <v>Priority</v>
      </c>
    </row>
    <row r="14" spans="1:12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6" t="s">
        <v>29</v>
      </c>
      <c r="L14" s="15" t="str">
        <f>IF(OR(C14="Mumbai",H14&gt;=15),"Priority", "Normal")</f>
        <v>Normal</v>
      </c>
    </row>
    <row r="15" spans="1:12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6" t="s">
        <v>29</v>
      </c>
      <c r="L15" s="15" t="str">
        <f>IF(OR(C15="Mumbai",H15&gt;=15),"Priority", "Normal")</f>
        <v>Normal</v>
      </c>
    </row>
    <row r="16" spans="1:12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6" t="s">
        <v>20</v>
      </c>
      <c r="L16" s="15" t="str">
        <f>IF(OR(C16="Mumbai",H16&gt;=15),"Priority", "Normal")</f>
        <v>Normal</v>
      </c>
    </row>
    <row r="17" spans="1:12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6" t="s">
        <v>24</v>
      </c>
      <c r="L17" s="15" t="str">
        <f>IF(OR(C17="Mumbai",H17&gt;=15),"Priority", "Normal")</f>
        <v>Priority</v>
      </c>
    </row>
    <row r="18" spans="1:12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6" t="s">
        <v>15</v>
      </c>
      <c r="L18" s="15" t="str">
        <f>IF(OR(C18="Mumbai",H18&gt;=15),"Priority", "Normal")</f>
        <v>Priority</v>
      </c>
    </row>
    <row r="19" spans="1:12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6" t="s">
        <v>29</v>
      </c>
      <c r="L19" s="15" t="str">
        <f>IF(OR(C19="Mumbai",H19&gt;=15),"Priority", "Normal")</f>
        <v>Normal</v>
      </c>
    </row>
    <row r="20" spans="1:12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6" t="s">
        <v>20</v>
      </c>
      <c r="L20" s="15" t="str">
        <f>IF(OR(C20="Mumbai",H20&gt;=15),"Priority", "Normal")</f>
        <v>Normal</v>
      </c>
    </row>
    <row r="21" spans="1:12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6" t="s">
        <v>15</v>
      </c>
      <c r="L21" s="15" t="str">
        <f>IF(OR(C21="Mumbai",H21&gt;=15),"Priority", "Normal")</f>
        <v>Normal</v>
      </c>
    </row>
    <row r="22" spans="1:12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6" t="s">
        <v>24</v>
      </c>
      <c r="L22" s="15" t="str">
        <f>IF(OR(C22="Mumbai",H22&gt;=15),"Priority", "Normal")</f>
        <v>Normal</v>
      </c>
    </row>
    <row r="23" spans="1:12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6" t="s">
        <v>29</v>
      </c>
      <c r="L23" s="15" t="str">
        <f>IF(OR(C23="Mumbai",H23&gt;=15),"Priority", "Normal")</f>
        <v>Normal</v>
      </c>
    </row>
    <row r="24" spans="1:12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6" t="s">
        <v>29</v>
      </c>
      <c r="L24" s="15" t="str">
        <f>IF(OR(C24="Mumbai",H24&gt;=15),"Priority", "Normal")</f>
        <v>Normal</v>
      </c>
    </row>
    <row r="25" spans="1:12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6" t="s">
        <v>15</v>
      </c>
      <c r="L25" s="15" t="str">
        <f>IF(OR(C25="Mumbai",H25&gt;=15),"Priority", "Normal")</f>
        <v>Priority</v>
      </c>
    </row>
    <row r="26" spans="1:12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6" t="s">
        <v>15</v>
      </c>
      <c r="L26" s="15" t="str">
        <f>IF(OR(C26="Mumbai",H26&gt;=15),"Priority", "Normal")</f>
        <v>Normal</v>
      </c>
    </row>
    <row r="27" spans="1:12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6" t="s">
        <v>29</v>
      </c>
      <c r="L27" s="15" t="str">
        <f>IF(OR(C27="Mumbai",H27&gt;=15),"Priority", "Normal")</f>
        <v>Normal</v>
      </c>
    </row>
    <row r="28" spans="1:12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6" t="s">
        <v>51</v>
      </c>
      <c r="L28" s="15" t="str">
        <f>IF(OR(C28="Mumbai",H28&gt;=15),"Priority", "Normal")</f>
        <v>Normal</v>
      </c>
    </row>
    <row r="29" spans="1:12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6" t="s">
        <v>24</v>
      </c>
      <c r="L29" s="15" t="str">
        <f>IF(OR(C29="Mumbai",H29&gt;=15),"Priority", "Normal")</f>
        <v>Normal</v>
      </c>
    </row>
    <row r="30" spans="1:12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6" t="s">
        <v>24</v>
      </c>
      <c r="L30" s="15" t="str">
        <f>IF(OR(C30="Mumbai",H30&gt;=15),"Priority", "Normal")</f>
        <v>Normal</v>
      </c>
    </row>
    <row r="31" spans="1:12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6" t="s">
        <v>15</v>
      </c>
      <c r="L31" s="15" t="str">
        <f>IF(OR(C31="Mumbai",H31&gt;=15),"Priority", "Normal")</f>
        <v>Normal</v>
      </c>
    </row>
    <row r="32" spans="1:12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6" t="s">
        <v>20</v>
      </c>
      <c r="L32" s="15" t="str">
        <f>IF(OR(C32="Mumbai",H32&gt;=15),"Priority", "Normal")</f>
        <v>Normal</v>
      </c>
    </row>
    <row r="33" spans="1:12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6" t="s">
        <v>29</v>
      </c>
      <c r="L33" s="15" t="str">
        <f>IF(OR(C33="Mumbai",H33&gt;=15),"Priority", "Normal")</f>
        <v>Normal</v>
      </c>
    </row>
    <row r="34" spans="1:12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6" t="s">
        <v>29</v>
      </c>
      <c r="L34" s="15" t="str">
        <f>IF(OR(C34="Mumbai",H34&gt;=15),"Priority", "Normal")</f>
        <v>Normal</v>
      </c>
    </row>
    <row r="35" spans="1:12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6" t="s">
        <v>51</v>
      </c>
      <c r="L35" s="15" t="str">
        <f>IF(OR(C35="Mumbai",H35&gt;=15),"Priority", "Normal")</f>
        <v>Normal</v>
      </c>
    </row>
    <row r="36" spans="1:12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6" t="s">
        <v>24</v>
      </c>
      <c r="L36" s="15" t="str">
        <f>IF(OR(C36="Mumbai",H36&gt;=15),"Priority", "Normal")</f>
        <v>Normal</v>
      </c>
    </row>
    <row r="37" spans="1:12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6" t="s">
        <v>24</v>
      </c>
      <c r="L37" s="15" t="str">
        <f>IF(OR(C37="Mumbai",H37&gt;=15),"Priority", "Normal")</f>
        <v>Normal</v>
      </c>
    </row>
    <row r="38" spans="1:12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6" t="s">
        <v>24</v>
      </c>
      <c r="L38" s="15" t="str">
        <f>IF(OR(C38="Mumbai",H38&gt;=15),"Priority", "Normal")</f>
        <v>Normal</v>
      </c>
    </row>
    <row r="39" spans="1:12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6" t="s">
        <v>51</v>
      </c>
      <c r="L39" s="15" t="str">
        <f>IF(OR(C39="Mumbai",H39&gt;=15),"Priority", "Normal")</f>
        <v>Normal</v>
      </c>
    </row>
    <row r="40" spans="1:12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6" t="s">
        <v>20</v>
      </c>
      <c r="L40" s="15" t="str">
        <f>IF(OR(C40="Mumbai",H40&gt;=15),"Priority", "Normal")</f>
        <v>Priority</v>
      </c>
    </row>
    <row r="41" spans="1:12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6" t="s">
        <v>24</v>
      </c>
      <c r="L41" s="15" t="str">
        <f>IF(OR(C41="Mumbai",H41&gt;=15),"Priority", "Normal")</f>
        <v>Priority</v>
      </c>
    </row>
    <row r="42" spans="1:12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6" t="s">
        <v>15</v>
      </c>
      <c r="L42" s="15" t="str">
        <f>IF(OR(C42="Mumbai",H42&gt;=15),"Priority", "Normal")</f>
        <v>Priority</v>
      </c>
    </row>
    <row r="43" spans="1:12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6" t="s">
        <v>29</v>
      </c>
      <c r="L43" s="15" t="str">
        <f>IF(OR(C43="Mumbai",H43&gt;=15),"Priority", "Normal")</f>
        <v>Normal</v>
      </c>
    </row>
    <row r="44" spans="1:12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6" t="s">
        <v>29</v>
      </c>
      <c r="L44" s="15" t="str">
        <f>IF(OR(C44="Mumbai",H44&gt;=15),"Priority", "Normal")</f>
        <v>Priority</v>
      </c>
    </row>
    <row r="45" spans="1:12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6" t="s">
        <v>20</v>
      </c>
      <c r="L45" s="15" t="str">
        <f>IF(OR(C45="Mumbai",H45&gt;=15),"Priority", "Normal")</f>
        <v>Priority</v>
      </c>
    </row>
    <row r="46" spans="1:12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6" t="s">
        <v>29</v>
      </c>
      <c r="L46" s="15" t="str">
        <f>IF(OR(C46="Mumbai",H46&gt;=15),"Priority", "Normal")</f>
        <v>Priority</v>
      </c>
    </row>
    <row r="47" spans="1:12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6" t="s">
        <v>29</v>
      </c>
      <c r="L47" s="15" t="str">
        <f>IF(OR(C47="Mumbai",H47&gt;=15),"Priority", "Normal")</f>
        <v>Priority</v>
      </c>
    </row>
    <row r="48" spans="1:12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6" t="s">
        <v>15</v>
      </c>
      <c r="L48" s="15" t="str">
        <f>IF(OR(C48="Mumbai",H48&gt;=15),"Priority", "Normal")</f>
        <v>Priority</v>
      </c>
    </row>
    <row r="49" spans="1:12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6" t="s">
        <v>24</v>
      </c>
      <c r="L49" s="15" t="str">
        <f>IF(OR(C49="Mumbai",H49&gt;=15),"Priority", "Normal")</f>
        <v>Normal</v>
      </c>
    </row>
    <row r="50" spans="1:12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6" t="s">
        <v>24</v>
      </c>
      <c r="L50" s="15" t="str">
        <f>IF(OR(C50="Mumbai",H50&gt;=15),"Priority", "Normal")</f>
        <v>Normal</v>
      </c>
    </row>
    <row r="51" spans="1:12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6" t="s">
        <v>29</v>
      </c>
      <c r="L51" s="15" t="str">
        <f>IF(OR(C51="Mumbai",H51&gt;=15),"Priority", "Normal")</f>
        <v>Normal</v>
      </c>
    </row>
    <row r="52" spans="1:12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6" t="s">
        <v>15</v>
      </c>
      <c r="L52" s="15" t="str">
        <f>IF(OR(C52="Mumbai",H52&gt;=15),"Priority", "Normal")</f>
        <v>Normal</v>
      </c>
    </row>
    <row r="53" spans="1:12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6" t="s">
        <v>20</v>
      </c>
      <c r="L53" s="15" t="str">
        <f>IF(OR(C53="Mumbai",H53&gt;=15),"Priority", "Normal")</f>
        <v>Normal</v>
      </c>
    </row>
    <row r="54" spans="1:12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6" t="s">
        <v>24</v>
      </c>
      <c r="L54" s="15" t="str">
        <f>IF(OR(C54="Mumbai",H54&gt;=15),"Priority", "Normal")</f>
        <v>Priority</v>
      </c>
    </row>
    <row r="55" spans="1:12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6" t="s">
        <v>51</v>
      </c>
      <c r="L55" s="15" t="str">
        <f>IF(OR(C55="Mumbai",H55&gt;=15),"Priority", "Normal")</f>
        <v>Normal</v>
      </c>
    </row>
    <row r="56" spans="1:12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6" t="s">
        <v>15</v>
      </c>
      <c r="L56" s="15" t="str">
        <f>IF(OR(C56="Mumbai",H56&gt;=15),"Priority", "Normal")</f>
        <v>Priority</v>
      </c>
    </row>
    <row r="57" spans="1:12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6" t="s">
        <v>24</v>
      </c>
      <c r="L57" s="15" t="str">
        <f>IF(OR(C57="Mumbai",H57&gt;=15),"Priority", "Normal")</f>
        <v>Normal</v>
      </c>
    </row>
    <row r="58" spans="1:12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6" t="s">
        <v>51</v>
      </c>
      <c r="L58" s="15" t="str">
        <f>IF(OR(C58="Mumbai",H58&gt;=15),"Priority", "Normal")</f>
        <v>Priority</v>
      </c>
    </row>
    <row r="59" spans="1:12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6" t="s">
        <v>24</v>
      </c>
      <c r="L59" s="15" t="str">
        <f>IF(OR(C59="Mumbai",H59&gt;=15),"Priority", "Normal")</f>
        <v>Priority</v>
      </c>
    </row>
    <row r="60" spans="1:12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6" t="s">
        <v>51</v>
      </c>
      <c r="L60" s="15" t="str">
        <f>IF(OR(C60="Mumbai",H60&gt;=15),"Priority", "Normal")</f>
        <v>Normal</v>
      </c>
    </row>
    <row r="61" spans="1:12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6" t="s">
        <v>20</v>
      </c>
      <c r="L61" s="15" t="str">
        <f>IF(OR(C61="Mumbai",H61&gt;=15),"Priority", "Normal")</f>
        <v>Normal</v>
      </c>
    </row>
    <row r="62" spans="1:12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6" t="s">
        <v>20</v>
      </c>
      <c r="L62" s="15" t="str">
        <f>IF(OR(C62="Mumbai",H62&gt;=15),"Priority", "Normal")</f>
        <v>Normal</v>
      </c>
    </row>
    <row r="63" spans="1:12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6" t="s">
        <v>51</v>
      </c>
      <c r="L63" s="15" t="str">
        <f>IF(OR(C63="Mumbai",H63&gt;=15),"Priority", "Normal")</f>
        <v>Normal</v>
      </c>
    </row>
    <row r="64" spans="1:12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6" t="s">
        <v>15</v>
      </c>
      <c r="L64" s="15" t="str">
        <f>IF(OR(C64="Mumbai",H64&gt;=15),"Priority", "Normal")</f>
        <v>Normal</v>
      </c>
    </row>
    <row r="65" spans="1:12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6" t="s">
        <v>29</v>
      </c>
      <c r="L65" s="15" t="str">
        <f>IF(OR(C65="Mumbai",H65&gt;=15),"Priority", "Normal")</f>
        <v>Normal</v>
      </c>
    </row>
    <row r="66" spans="1:12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6" t="s">
        <v>51</v>
      </c>
      <c r="L66" s="15" t="str">
        <f>IF(OR(C66="Mumbai",H66&gt;=15),"Priority", "Normal")</f>
        <v>Normal</v>
      </c>
    </row>
    <row r="67" spans="1:12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6" t="s">
        <v>15</v>
      </c>
      <c r="L67" s="15" t="str">
        <f>IF(OR(C67="Mumbai",H67&gt;=15),"Priority", "Normal")</f>
        <v>Normal</v>
      </c>
    </row>
    <row r="68" spans="1:12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6" t="s">
        <v>29</v>
      </c>
      <c r="L68" s="15" t="str">
        <f>IF(OR(C68="Mumbai",H68&gt;=15),"Priority", "Normal")</f>
        <v>Normal</v>
      </c>
    </row>
    <row r="69" spans="1:12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6" t="s">
        <v>29</v>
      </c>
      <c r="L69" s="15" t="str">
        <f>IF(OR(C69="Mumbai",H69&gt;=15),"Priority", "Normal")</f>
        <v>Normal</v>
      </c>
    </row>
    <row r="70" spans="1:12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6" t="s">
        <v>15</v>
      </c>
      <c r="L70" s="15" t="str">
        <f>IF(OR(C70="Mumbai",H70&gt;=15),"Priority", "Normal")</f>
        <v>Normal</v>
      </c>
    </row>
    <row r="71" spans="1:12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6" t="s">
        <v>29</v>
      </c>
      <c r="L71" s="15" t="str">
        <f>IF(OR(C71="Mumbai",H71&gt;=15),"Priority", "Normal")</f>
        <v>Normal</v>
      </c>
    </row>
    <row r="72" spans="1:12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6" t="s">
        <v>20</v>
      </c>
      <c r="L72" s="15" t="str">
        <f>IF(OR(C72="Mumbai",H72&gt;=15),"Priority", "Normal")</f>
        <v>Normal</v>
      </c>
    </row>
    <row r="73" spans="1:12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6" t="s">
        <v>24</v>
      </c>
      <c r="L73" s="15" t="str">
        <f>IF(OR(C73="Mumbai",H73&gt;=15),"Priority", "Normal")</f>
        <v>Normal</v>
      </c>
    </row>
    <row r="74" spans="1:12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6" t="s">
        <v>51</v>
      </c>
      <c r="L74" s="15" t="str">
        <f>IF(OR(C74="Mumbai",H74&gt;=15),"Priority", "Normal")</f>
        <v>Normal</v>
      </c>
    </row>
    <row r="75" spans="1:12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6" t="s">
        <v>29</v>
      </c>
      <c r="L75" s="15" t="str">
        <f>IF(OR(C75="Mumbai",H75&gt;=15),"Priority", "Normal")</f>
        <v>Priority</v>
      </c>
    </row>
    <row r="76" spans="1:12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6" t="s">
        <v>51</v>
      </c>
      <c r="L76" s="15" t="str">
        <f>IF(OR(C76="Mumbai",H76&gt;=15),"Priority", "Normal")</f>
        <v>Normal</v>
      </c>
    </row>
    <row r="77" spans="1:12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6" t="s">
        <v>29</v>
      </c>
      <c r="L77" s="15" t="str">
        <f>IF(OR(C77="Mumbai",H77&gt;=15),"Priority", "Normal")</f>
        <v>Normal</v>
      </c>
    </row>
    <row r="78" spans="1:12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6" t="s">
        <v>51</v>
      </c>
      <c r="L78" s="15" t="str">
        <f>IF(OR(C78="Mumbai",H78&gt;=15),"Priority", "Normal")</f>
        <v>Normal</v>
      </c>
    </row>
    <row r="79" spans="1:12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6" t="s">
        <v>29</v>
      </c>
      <c r="L79" s="15" t="str">
        <f>IF(OR(C79="Mumbai",H79&gt;=15),"Priority", "Normal")</f>
        <v>Normal</v>
      </c>
    </row>
    <row r="80" spans="1:12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6" t="s">
        <v>51</v>
      </c>
      <c r="L80" s="15" t="str">
        <f>IF(OR(C80="Mumbai",H80&gt;=15),"Priority", "Normal")</f>
        <v>Priority</v>
      </c>
    </row>
    <row r="81" spans="1:12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6" t="s">
        <v>24</v>
      </c>
      <c r="L81" s="15" t="str">
        <f>IF(OR(C81="Mumbai",H81&gt;=15),"Priority", "Normal")</f>
        <v>Priority</v>
      </c>
    </row>
    <row r="82" spans="1:12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6" t="s">
        <v>51</v>
      </c>
      <c r="L82" s="15" t="str">
        <f>IF(OR(C82="Mumbai",H82&gt;=15),"Priority", "Normal")</f>
        <v>Normal</v>
      </c>
    </row>
    <row r="83" spans="1:12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6" t="s">
        <v>51</v>
      </c>
      <c r="L83" s="15" t="str">
        <f>IF(OR(C83="Mumbai",H83&gt;=15),"Priority", "Normal")</f>
        <v>Normal</v>
      </c>
    </row>
    <row r="84" spans="1:12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6" t="s">
        <v>15</v>
      </c>
      <c r="L84" s="15" t="str">
        <f>IF(OR(C84="Mumbai",H84&gt;=15),"Priority", "Normal")</f>
        <v>Normal</v>
      </c>
    </row>
    <row r="85" spans="1:12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6" t="s">
        <v>20</v>
      </c>
      <c r="L85" s="15" t="str">
        <f>IF(OR(C85="Mumbai",H85&gt;=15),"Priority", "Normal")</f>
        <v>Normal</v>
      </c>
    </row>
    <row r="86" spans="1:12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6" t="s">
        <v>24</v>
      </c>
      <c r="L86" s="15" t="str">
        <f>IF(OR(C86="Mumbai",H86&gt;=15),"Priority", "Normal")</f>
        <v>Priority</v>
      </c>
    </row>
    <row r="87" spans="1:12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6" t="s">
        <v>24</v>
      </c>
      <c r="L87" s="15" t="str">
        <f>IF(OR(C87="Mumbai",H87&gt;=15),"Priority", "Normal")</f>
        <v>Normal</v>
      </c>
    </row>
    <row r="88" spans="1:12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6" t="s">
        <v>24</v>
      </c>
      <c r="L88" s="15" t="str">
        <f>IF(OR(C88="Mumbai",H88&gt;=15),"Priority", "Normal")</f>
        <v>Normal</v>
      </c>
    </row>
    <row r="89" spans="1:12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6" t="s">
        <v>20</v>
      </c>
      <c r="L89" s="15" t="str">
        <f>IF(OR(C89="Mumbai",H89&gt;=15),"Priority", "Normal")</f>
        <v>Normal</v>
      </c>
    </row>
    <row r="90" spans="1:12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6" t="s">
        <v>24</v>
      </c>
      <c r="L90" s="15" t="str">
        <f>IF(OR(C90="Mumbai",H90&gt;=15),"Priority", "Normal")</f>
        <v>Normal</v>
      </c>
    </row>
    <row r="91" spans="1:12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6" t="s">
        <v>24</v>
      </c>
      <c r="L91" s="15" t="str">
        <f>IF(OR(C91="Mumbai",H91&gt;=15),"Priority", "Normal")</f>
        <v>Normal</v>
      </c>
    </row>
    <row r="92" spans="1:12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6" t="s">
        <v>15</v>
      </c>
      <c r="L92" s="15" t="str">
        <f>IF(OR(C92="Mumbai",H92&gt;=15),"Priority", "Normal")</f>
        <v>Normal</v>
      </c>
    </row>
    <row r="93" spans="1:12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6" t="s">
        <v>29</v>
      </c>
      <c r="L93" s="15" t="str">
        <f>IF(OR(C93="Mumbai",H93&gt;=15),"Priority", "Normal")</f>
        <v>Normal</v>
      </c>
    </row>
    <row r="94" spans="1:12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6" t="s">
        <v>51</v>
      </c>
      <c r="L94" s="15" t="str">
        <f>IF(OR(C94="Mumbai",H94&gt;=15),"Priority", "Normal")</f>
        <v>Priority</v>
      </c>
    </row>
    <row r="95" spans="1:12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6" t="s">
        <v>29</v>
      </c>
      <c r="L95" s="15" t="str">
        <f>IF(OR(C95="Mumbai",H95&gt;=15),"Priority", "Normal")</f>
        <v>Normal</v>
      </c>
    </row>
    <row r="96" spans="1:12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6" t="s">
        <v>20</v>
      </c>
      <c r="L96" s="15" t="str">
        <f>IF(OR(C96="Mumbai",H96&gt;=15),"Priority", "Normal")</f>
        <v>Normal</v>
      </c>
    </row>
    <row r="97" spans="1:12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6" t="s">
        <v>20</v>
      </c>
      <c r="L97" s="15" t="str">
        <f>IF(OR(C97="Mumbai",H97&gt;=15),"Priority", "Normal")</f>
        <v>Priority</v>
      </c>
    </row>
    <row r="98" spans="1:12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6" t="s">
        <v>24</v>
      </c>
      <c r="L98" s="15" t="str">
        <f>IF(OR(C98="Mumbai",H98&gt;=15),"Priority", "Normal")</f>
        <v>Normal</v>
      </c>
    </row>
    <row r="99" spans="1:12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6" t="s">
        <v>51</v>
      </c>
      <c r="L99" s="15" t="str">
        <f>IF(OR(C99="Mumbai",H99&gt;=15),"Priority", "Normal")</f>
        <v>Normal</v>
      </c>
    </row>
    <row r="100" spans="1:12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6" t="s">
        <v>15</v>
      </c>
      <c r="L100" s="15" t="str">
        <f>IF(OR(C100="Mumbai",H100&gt;=15),"Priority", "Normal")</f>
        <v>Normal</v>
      </c>
    </row>
    <row r="101" spans="1:12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6" t="s">
        <v>51</v>
      </c>
      <c r="L101" s="15" t="str">
        <f>IF(OR(C101="Mumbai",H101&gt;=15),"Priority", "Normal")</f>
        <v>Normal</v>
      </c>
    </row>
    <row r="102" spans="1:12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6" t="s">
        <v>24</v>
      </c>
      <c r="L102" s="15" t="str">
        <f>IF(OR(C102="Mumbai",H102&gt;=15),"Priority", "Normal")</f>
        <v>Normal</v>
      </c>
    </row>
    <row r="103" spans="1:12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6" t="s">
        <v>51</v>
      </c>
      <c r="L103" s="15" t="str">
        <f>IF(OR(C103="Mumbai",H103&gt;=15),"Priority", "Normal")</f>
        <v>Normal</v>
      </c>
    </row>
    <row r="104" spans="1:12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6" t="s">
        <v>29</v>
      </c>
      <c r="L104" s="15" t="str">
        <f>IF(OR(C104="Mumbai",H104&gt;=15),"Priority", "Normal")</f>
        <v>Normal</v>
      </c>
    </row>
    <row r="105" spans="1:12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6" t="s">
        <v>29</v>
      </c>
      <c r="L105" s="15" t="str">
        <f>IF(OR(C105="Mumbai",H105&gt;=15),"Priority", "Normal")</f>
        <v>Priority</v>
      </c>
    </row>
    <row r="106" spans="1:12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6" t="s">
        <v>51</v>
      </c>
      <c r="L106" s="15" t="str">
        <f>IF(OR(C106="Mumbai",H106&gt;=15),"Priority", "Normal")</f>
        <v>Normal</v>
      </c>
    </row>
    <row r="107" spans="1:12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6" t="s">
        <v>29</v>
      </c>
      <c r="L107" s="15" t="str">
        <f>IF(OR(C107="Mumbai",H107&gt;=15),"Priority", "Normal")</f>
        <v>Normal</v>
      </c>
    </row>
    <row r="108" spans="1:12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6" t="s">
        <v>15</v>
      </c>
      <c r="L108" s="15" t="str">
        <f>IF(OR(C108="Mumbai",H108&gt;=15),"Priority", "Normal")</f>
        <v>Normal</v>
      </c>
    </row>
    <row r="109" spans="1:12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6" t="s">
        <v>20</v>
      </c>
      <c r="L109" s="15" t="str">
        <f>IF(OR(C109="Mumbai",H109&gt;=15),"Priority", "Normal")</f>
        <v>Normal</v>
      </c>
    </row>
    <row r="110" spans="1:12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6" t="s">
        <v>20</v>
      </c>
      <c r="L110" s="15" t="str">
        <f>IF(OR(C110="Mumbai",H110&gt;=15),"Priority", "Normal")</f>
        <v>Normal</v>
      </c>
    </row>
    <row r="111" spans="1:12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6" t="s">
        <v>29</v>
      </c>
      <c r="L111" s="15" t="str">
        <f>IF(OR(C111="Mumbai",H111&gt;=15),"Priority", "Normal")</f>
        <v>Priority</v>
      </c>
    </row>
    <row r="112" spans="1:12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6" t="s">
        <v>29</v>
      </c>
      <c r="L112" s="15" t="str">
        <f>IF(OR(C112="Mumbai",H112&gt;=15),"Priority", "Normal")</f>
        <v>Normal</v>
      </c>
    </row>
    <row r="113" spans="1:12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6" t="s">
        <v>15</v>
      </c>
      <c r="L113" s="15" t="str">
        <f>IF(OR(C113="Mumbai",H113&gt;=15),"Priority", "Normal")</f>
        <v>Priority</v>
      </c>
    </row>
    <row r="114" spans="1:12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6" t="s">
        <v>24</v>
      </c>
      <c r="L114" s="15" t="str">
        <f>IF(OR(C114="Mumbai",H114&gt;=15),"Priority", "Normal")</f>
        <v>Priority</v>
      </c>
    </row>
    <row r="115" spans="1:12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6" t="s">
        <v>15</v>
      </c>
      <c r="L115" s="15" t="str">
        <f>IF(OR(C115="Mumbai",H115&gt;=15),"Priority", "Normal")</f>
        <v>Priority</v>
      </c>
    </row>
    <row r="116" spans="1:12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6" t="s">
        <v>29</v>
      </c>
      <c r="L116" s="15" t="str">
        <f>IF(OR(C116="Mumbai",H116&gt;=15),"Priority", "Normal")</f>
        <v>Normal</v>
      </c>
    </row>
    <row r="117" spans="1:12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6" t="s">
        <v>15</v>
      </c>
      <c r="L117" s="15" t="str">
        <f>IF(OR(C117="Mumbai",H117&gt;=15),"Priority", "Normal")</f>
        <v>Priority</v>
      </c>
    </row>
    <row r="118" spans="1:12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6" t="s">
        <v>29</v>
      </c>
      <c r="L118" s="15" t="str">
        <f>IF(OR(C118="Mumbai",H118&gt;=15),"Priority", "Normal")</f>
        <v>Normal</v>
      </c>
    </row>
    <row r="119" spans="1:12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6" t="s">
        <v>29</v>
      </c>
      <c r="L119" s="15" t="str">
        <f>IF(OR(C119="Mumbai",H119&gt;=15),"Priority", "Normal")</f>
        <v>Normal</v>
      </c>
    </row>
    <row r="120" spans="1:12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6" t="s">
        <v>51</v>
      </c>
      <c r="L120" s="15" t="str">
        <f>IF(OR(C120="Mumbai",H120&gt;=15),"Priority", "Normal")</f>
        <v>Normal</v>
      </c>
    </row>
    <row r="121" spans="1:12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6" t="s">
        <v>51</v>
      </c>
      <c r="L121" s="15" t="str">
        <f>IF(OR(C121="Mumbai",H121&gt;=15),"Priority", "Normal")</f>
        <v>Priority</v>
      </c>
    </row>
    <row r="122" spans="1:12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6" t="s">
        <v>29</v>
      </c>
      <c r="L122" s="15" t="str">
        <f>IF(OR(C122="Mumbai",H122&gt;=15),"Priority", "Normal")</f>
        <v>Normal</v>
      </c>
    </row>
    <row r="123" spans="1:12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6" t="s">
        <v>29</v>
      </c>
      <c r="L123" s="15" t="str">
        <f>IF(OR(C123="Mumbai",H123&gt;=15),"Priority", "Normal")</f>
        <v>Normal</v>
      </c>
    </row>
    <row r="124" spans="1:12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6" t="s">
        <v>29</v>
      </c>
      <c r="L124" s="15" t="str">
        <f>IF(OR(C124="Mumbai",H124&gt;=15),"Priority", "Normal")</f>
        <v>Normal</v>
      </c>
    </row>
    <row r="125" spans="1:12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6" t="s">
        <v>51</v>
      </c>
      <c r="L125" s="15" t="str">
        <f>IF(OR(C125="Mumbai",H125&gt;=15),"Priority", "Normal")</f>
        <v>Priority</v>
      </c>
    </row>
    <row r="126" spans="1:12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6" t="s">
        <v>24</v>
      </c>
      <c r="L126" s="15" t="str">
        <f>IF(OR(C126="Mumbai",H126&gt;=15),"Priority", "Normal")</f>
        <v>Normal</v>
      </c>
    </row>
    <row r="127" spans="1:12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6" t="s">
        <v>29</v>
      </c>
      <c r="L127" s="15" t="str">
        <f>IF(OR(C127="Mumbai",H127&gt;=15),"Priority", "Normal")</f>
        <v>Normal</v>
      </c>
    </row>
    <row r="128" spans="1:12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6" t="s">
        <v>29</v>
      </c>
      <c r="L128" s="15" t="str">
        <f>IF(OR(C128="Mumbai",H128&gt;=15),"Priority", "Normal")</f>
        <v>Normal</v>
      </c>
    </row>
    <row r="129" spans="1:12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6" t="s">
        <v>29</v>
      </c>
      <c r="L129" s="15" t="str">
        <f>IF(OR(C129="Mumbai",H129&gt;=15),"Priority", "Normal")</f>
        <v>Normal</v>
      </c>
    </row>
    <row r="130" spans="1:12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6" t="s">
        <v>29</v>
      </c>
      <c r="L130" s="15" t="str">
        <f>IF(OR(C130="Mumbai",H130&gt;=15),"Priority", "Normal")</f>
        <v>Normal</v>
      </c>
    </row>
    <row r="131" spans="1:12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6" t="s">
        <v>24</v>
      </c>
      <c r="L131" s="15" t="str">
        <f>IF(OR(C131="Mumbai",H131&gt;=15),"Priority", "Normal")</f>
        <v>Normal</v>
      </c>
    </row>
    <row r="132" spans="1:12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6" t="s">
        <v>51</v>
      </c>
      <c r="L132" s="15" t="str">
        <f>IF(OR(C132="Mumbai",H132&gt;=15),"Priority", "Normal")</f>
        <v>Normal</v>
      </c>
    </row>
    <row r="133" spans="1:12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6" t="s">
        <v>24</v>
      </c>
      <c r="L133" s="15" t="str">
        <f>IF(OR(C133="Mumbai",H133&gt;=15),"Priority", "Normal")</f>
        <v>Normal</v>
      </c>
    </row>
    <row r="134" spans="1:12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6" t="s">
        <v>51</v>
      </c>
      <c r="L134" s="15" t="str">
        <f>IF(OR(C134="Mumbai",H134&gt;=15),"Priority", "Normal")</f>
        <v>Normal</v>
      </c>
    </row>
    <row r="135" spans="1:12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6" t="s">
        <v>24</v>
      </c>
      <c r="L135" s="15" t="str">
        <f>IF(OR(C135="Mumbai",H135&gt;=15),"Priority", "Normal")</f>
        <v>Priority</v>
      </c>
    </row>
    <row r="136" spans="1:12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6" t="s">
        <v>15</v>
      </c>
      <c r="L136" s="15" t="str">
        <f>IF(OR(C136="Mumbai",H136&gt;=15),"Priority", "Normal")</f>
        <v>Normal</v>
      </c>
    </row>
    <row r="137" spans="1:12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6" t="s">
        <v>24</v>
      </c>
      <c r="L137" s="15" t="str">
        <f>IF(OR(C137="Mumbai",H137&gt;=15),"Priority", "Normal")</f>
        <v>Normal</v>
      </c>
    </row>
    <row r="138" spans="1:12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6" t="s">
        <v>29</v>
      </c>
      <c r="L138" s="15" t="str">
        <f>IF(OR(C138="Mumbai",H138&gt;=15),"Priority", "Normal")</f>
        <v>Normal</v>
      </c>
    </row>
    <row r="139" spans="1:12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6" t="s">
        <v>51</v>
      </c>
      <c r="L139" s="15" t="str">
        <f>IF(OR(C139="Mumbai",H139&gt;=15),"Priority", "Normal")</f>
        <v>Normal</v>
      </c>
    </row>
    <row r="140" spans="1:12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6" t="s">
        <v>15</v>
      </c>
      <c r="L140" s="15" t="str">
        <f>IF(OR(C140="Mumbai",H140&gt;=15),"Priority", "Normal")</f>
        <v>Normal</v>
      </c>
    </row>
    <row r="141" spans="1:12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6" t="s">
        <v>15</v>
      </c>
      <c r="L141" s="15" t="str">
        <f>IF(OR(C141="Mumbai",H141&gt;=15),"Priority", "Normal")</f>
        <v>Priority</v>
      </c>
    </row>
    <row r="142" spans="1:12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6" t="s">
        <v>15</v>
      </c>
      <c r="L142" s="15" t="str">
        <f>IF(OR(C142="Mumbai",H142&gt;=15),"Priority", "Normal")</f>
        <v>Normal</v>
      </c>
    </row>
    <row r="143" spans="1:12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6" t="s">
        <v>29</v>
      </c>
      <c r="L143" s="15" t="str">
        <f>IF(OR(C143="Mumbai",H143&gt;=15),"Priority", "Normal")</f>
        <v>Normal</v>
      </c>
    </row>
    <row r="144" spans="1:12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6" t="s">
        <v>24</v>
      </c>
      <c r="L144" s="15" t="str">
        <f>IF(OR(C144="Mumbai",H144&gt;=15),"Priority", "Normal")</f>
        <v>Normal</v>
      </c>
    </row>
    <row r="145" spans="1:12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6" t="s">
        <v>20</v>
      </c>
      <c r="L145" s="15" t="str">
        <f>IF(OR(C145="Mumbai",H145&gt;=15),"Priority", "Normal")</f>
        <v>Normal</v>
      </c>
    </row>
    <row r="146" spans="1:12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6" t="s">
        <v>24</v>
      </c>
      <c r="L146" s="15" t="str">
        <f>IF(OR(C146="Mumbai",H146&gt;=15),"Priority", "Normal")</f>
        <v>Normal</v>
      </c>
    </row>
    <row r="147" spans="1:12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6" t="s">
        <v>29</v>
      </c>
      <c r="L147" s="15" t="str">
        <f>IF(OR(C147="Mumbai",H147&gt;=15),"Priority", "Normal")</f>
        <v>Normal</v>
      </c>
    </row>
    <row r="148" spans="1:12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6" t="s">
        <v>20</v>
      </c>
      <c r="L148" s="15" t="str">
        <f>IF(OR(C148="Mumbai",H148&gt;=15),"Priority", "Normal")</f>
        <v>Normal</v>
      </c>
    </row>
    <row r="149" spans="1:12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6" t="s">
        <v>24</v>
      </c>
      <c r="L149" s="15" t="str">
        <f>IF(OR(C149="Mumbai",H149&gt;=15),"Priority", "Normal")</f>
        <v>Normal</v>
      </c>
    </row>
    <row r="150" spans="1:12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6" t="s">
        <v>29</v>
      </c>
      <c r="L150" s="15" t="str">
        <f>IF(OR(C150="Mumbai",H150&gt;=15),"Priority", "Normal")</f>
        <v>Priority</v>
      </c>
    </row>
    <row r="151" spans="1:12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6" t="s">
        <v>24</v>
      </c>
      <c r="L151" s="15" t="str">
        <f>IF(OR(C151="Mumbai",H151&gt;=15),"Priority", "Normal")</f>
        <v>Normal</v>
      </c>
    </row>
    <row r="152" spans="1:12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6" t="s">
        <v>51</v>
      </c>
      <c r="L152" s="15" t="str">
        <f>IF(OR(C152="Mumbai",H152&gt;=15),"Priority", "Normal")</f>
        <v>Priority</v>
      </c>
    </row>
    <row r="153" spans="1:12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6" t="s">
        <v>15</v>
      </c>
      <c r="L153" s="15" t="str">
        <f>IF(OR(C153="Mumbai",H153&gt;=15),"Priority", "Normal")</f>
        <v>Normal</v>
      </c>
    </row>
    <row r="154" spans="1:12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6" t="s">
        <v>29</v>
      </c>
      <c r="L154" s="15" t="str">
        <f>IF(OR(C154="Mumbai",H154&gt;=15),"Priority", "Normal")</f>
        <v>Normal</v>
      </c>
    </row>
    <row r="155" spans="1:12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6" t="s">
        <v>51</v>
      </c>
      <c r="L155" s="15" t="str">
        <f>IF(OR(C155="Mumbai",H155&gt;=15),"Priority", "Normal")</f>
        <v>Normal</v>
      </c>
    </row>
    <row r="156" spans="1:12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6" t="s">
        <v>24</v>
      </c>
      <c r="L156" s="15" t="str">
        <f>IF(OR(C156="Mumbai",H156&gt;=15),"Priority", "Normal")</f>
        <v>Priority</v>
      </c>
    </row>
    <row r="157" spans="1:12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6" t="s">
        <v>15</v>
      </c>
      <c r="L157" s="15" t="str">
        <f>IF(OR(C157="Mumbai",H157&gt;=15),"Priority", "Normal")</f>
        <v>Priority</v>
      </c>
    </row>
    <row r="158" spans="1:12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6" t="s">
        <v>29</v>
      </c>
      <c r="L158" s="15" t="str">
        <f>IF(OR(C158="Mumbai",H158&gt;=15),"Priority", "Normal")</f>
        <v>Priority</v>
      </c>
    </row>
    <row r="159" spans="1:12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6" t="s">
        <v>51</v>
      </c>
      <c r="L159" s="15" t="str">
        <f>IF(OR(C159="Mumbai",H159&gt;=15),"Priority", "Normal")</f>
        <v>Priority</v>
      </c>
    </row>
    <row r="160" spans="1:12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6" t="s">
        <v>15</v>
      </c>
      <c r="L160" s="15" t="str">
        <f>IF(OR(C160="Mumbai",H160&gt;=15),"Priority", "Normal")</f>
        <v>Priority</v>
      </c>
    </row>
    <row r="161" spans="1:12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6" t="s">
        <v>51</v>
      </c>
      <c r="L161" s="15" t="str">
        <f>IF(OR(C161="Mumbai",H161&gt;=15),"Priority", "Normal")</f>
        <v>Normal</v>
      </c>
    </row>
    <row r="162" spans="1:12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6" t="s">
        <v>20</v>
      </c>
      <c r="L162" s="15" t="str">
        <f>IF(OR(C162="Mumbai",H162&gt;=15),"Priority", "Normal")</f>
        <v>Normal</v>
      </c>
    </row>
    <row r="163" spans="1:12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6" t="s">
        <v>20</v>
      </c>
      <c r="L163" s="15" t="str">
        <f>IF(OR(C163="Mumbai",H163&gt;=15),"Priority", "Normal")</f>
        <v>Normal</v>
      </c>
    </row>
    <row r="164" spans="1:12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6" t="s">
        <v>29</v>
      </c>
      <c r="L164" s="15" t="str">
        <f>IF(OR(C164="Mumbai",H164&gt;=15),"Priority", "Normal")</f>
        <v>Priority</v>
      </c>
    </row>
    <row r="165" spans="1:12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6" t="s">
        <v>51</v>
      </c>
      <c r="L165" s="15" t="str">
        <f>IF(OR(C165="Mumbai",H165&gt;=15),"Priority", "Normal")</f>
        <v>Normal</v>
      </c>
    </row>
    <row r="166" spans="1:12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6" t="s">
        <v>51</v>
      </c>
      <c r="L166" s="15" t="str">
        <f>IF(OR(C166="Mumbai",H166&gt;=15),"Priority", "Normal")</f>
        <v>Normal</v>
      </c>
    </row>
    <row r="167" spans="1:12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6" t="s">
        <v>20</v>
      </c>
      <c r="L167" s="15" t="str">
        <f>IF(OR(C167="Mumbai",H167&gt;=15),"Priority", "Normal")</f>
        <v>Normal</v>
      </c>
    </row>
    <row r="168" spans="1:12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6" t="s">
        <v>29</v>
      </c>
      <c r="L168" s="15" t="str">
        <f>IF(OR(C168="Mumbai",H168&gt;=15),"Priority", "Normal")</f>
        <v>Normal</v>
      </c>
    </row>
    <row r="169" spans="1:12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6" t="s">
        <v>29</v>
      </c>
      <c r="L169" s="15" t="str">
        <f>IF(OR(C169="Mumbai",H169&gt;=15),"Priority", "Normal")</f>
        <v>Priority</v>
      </c>
    </row>
    <row r="170" spans="1:12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6" t="s">
        <v>24</v>
      </c>
      <c r="L170" s="15" t="str">
        <f>IF(OR(C170="Mumbai",H170&gt;=15),"Priority", "Normal")</f>
        <v>Normal</v>
      </c>
    </row>
    <row r="171" spans="1:12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6" t="s">
        <v>24</v>
      </c>
      <c r="L171" s="15" t="str">
        <f>IF(OR(C171="Mumbai",H171&gt;=15),"Priority", "Normal")</f>
        <v>Priority</v>
      </c>
    </row>
    <row r="172" spans="1:12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6" t="s">
        <v>20</v>
      </c>
      <c r="L172" s="15" t="str">
        <f>IF(OR(C172="Mumbai",H172&gt;=15),"Priority", "Normal")</f>
        <v>Normal</v>
      </c>
    </row>
    <row r="173" spans="1:12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6" t="s">
        <v>24</v>
      </c>
      <c r="L173" s="15" t="str">
        <f>IF(OR(C173="Mumbai",H173&gt;=15),"Priority", "Normal")</f>
        <v>Normal</v>
      </c>
    </row>
    <row r="174" spans="1:12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6" t="s">
        <v>51</v>
      </c>
      <c r="L174" s="15" t="str">
        <f>IF(OR(C174="Mumbai",H174&gt;=15),"Priority", "Normal")</f>
        <v>Normal</v>
      </c>
    </row>
    <row r="175" spans="1:12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6" t="s">
        <v>24</v>
      </c>
      <c r="L175" s="15" t="str">
        <f>IF(OR(C175="Mumbai",H175&gt;=15),"Priority", "Normal")</f>
        <v>Priority</v>
      </c>
    </row>
    <row r="176" spans="1:12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6" t="s">
        <v>20</v>
      </c>
      <c r="L176" s="15" t="str">
        <f>IF(OR(C176="Mumbai",H176&gt;=15),"Priority", "Normal")</f>
        <v>Normal</v>
      </c>
    </row>
    <row r="177" spans="1:12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6" t="s">
        <v>29</v>
      </c>
      <c r="L177" s="15" t="str">
        <f>IF(OR(C177="Mumbai",H177&gt;=15),"Priority", "Normal")</f>
        <v>Priority</v>
      </c>
    </row>
    <row r="178" spans="1:12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6" t="s">
        <v>20</v>
      </c>
      <c r="L178" s="15" t="str">
        <f>IF(OR(C178="Mumbai",H178&gt;=15),"Priority", "Normal")</f>
        <v>Normal</v>
      </c>
    </row>
    <row r="179" spans="1:12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6" t="s">
        <v>20</v>
      </c>
      <c r="L179" s="15" t="str">
        <f>IF(OR(C179="Mumbai",H179&gt;=15),"Priority", "Normal")</f>
        <v>Normal</v>
      </c>
    </row>
    <row r="180" spans="1:12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6" t="s">
        <v>15</v>
      </c>
      <c r="L180" s="15" t="str">
        <f>IF(OR(C180="Mumbai",H180&gt;=15),"Priority", "Normal")</f>
        <v>Normal</v>
      </c>
    </row>
    <row r="181" spans="1:12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6" t="s">
        <v>29</v>
      </c>
      <c r="L181" s="15" t="str">
        <f>IF(OR(C181="Mumbai",H181&gt;=15),"Priority", "Normal")</f>
        <v>Normal</v>
      </c>
    </row>
    <row r="182" spans="1:12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6" t="s">
        <v>15</v>
      </c>
      <c r="L182" s="15" t="str">
        <f>IF(OR(C182="Mumbai",H182&gt;=15),"Priority", "Normal")</f>
        <v>Normal</v>
      </c>
    </row>
    <row r="183" spans="1:12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6" t="s">
        <v>24</v>
      </c>
      <c r="L183" s="15" t="str">
        <f>IF(OR(C183="Mumbai",H183&gt;=15),"Priority", "Normal")</f>
        <v>Normal</v>
      </c>
    </row>
    <row r="184" spans="1:12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6" t="s">
        <v>20</v>
      </c>
      <c r="L184" s="15" t="str">
        <f>IF(OR(C184="Mumbai",H184&gt;=15),"Priority", "Normal")</f>
        <v>Normal</v>
      </c>
    </row>
    <row r="185" spans="1:12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6" t="s">
        <v>29</v>
      </c>
      <c r="L185" s="15" t="str">
        <f>IF(OR(C185="Mumbai",H185&gt;=15),"Priority", "Normal")</f>
        <v>Priority</v>
      </c>
    </row>
    <row r="186" spans="1:12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6" t="s">
        <v>15</v>
      </c>
      <c r="L186" s="15" t="str">
        <f>IF(OR(C186="Mumbai",H186&gt;=15),"Priority", "Normal")</f>
        <v>Normal</v>
      </c>
    </row>
    <row r="187" spans="1:12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6" t="s">
        <v>24</v>
      </c>
      <c r="L187" s="15" t="str">
        <f>IF(OR(C187="Mumbai",H187&gt;=15),"Priority", "Normal")</f>
        <v>Normal</v>
      </c>
    </row>
    <row r="188" spans="1:12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6" t="s">
        <v>51</v>
      </c>
      <c r="L188" s="15" t="str">
        <f>IF(OR(C188="Mumbai",H188&gt;=15),"Priority", "Normal")</f>
        <v>Normal</v>
      </c>
    </row>
    <row r="189" spans="1:12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6" t="s">
        <v>15</v>
      </c>
      <c r="L189" s="15" t="str">
        <f>IF(OR(C189="Mumbai",H189&gt;=15),"Priority", "Normal")</f>
        <v>Normal</v>
      </c>
    </row>
    <row r="190" spans="1:12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6" t="s">
        <v>29</v>
      </c>
      <c r="L190" s="15" t="str">
        <f>IF(OR(C190="Mumbai",H190&gt;=15),"Priority", "Normal")</f>
        <v>Normal</v>
      </c>
    </row>
    <row r="191" spans="1:12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6" t="s">
        <v>20</v>
      </c>
      <c r="L191" s="15" t="str">
        <f>IF(OR(C191="Mumbai",H191&gt;=15),"Priority", "Normal")</f>
        <v>Normal</v>
      </c>
    </row>
    <row r="192" spans="1:12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6" t="s">
        <v>20</v>
      </c>
      <c r="L192" s="15" t="str">
        <f>IF(OR(C192="Mumbai",H192&gt;=15),"Priority", "Normal")</f>
        <v>Normal</v>
      </c>
    </row>
    <row r="193" spans="1:12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6" t="s">
        <v>24</v>
      </c>
      <c r="L193" s="15" t="str">
        <f>IF(OR(C193="Mumbai",H193&gt;=15),"Priority", "Normal")</f>
        <v>Normal</v>
      </c>
    </row>
    <row r="194" spans="1:12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6" t="s">
        <v>29</v>
      </c>
      <c r="L194" s="15" t="str">
        <f>IF(OR(C194="Mumbai",H194&gt;=15),"Priority", "Normal")</f>
        <v>Normal</v>
      </c>
    </row>
    <row r="195" spans="1:12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6" t="s">
        <v>51</v>
      </c>
      <c r="L195" s="15" t="str">
        <f>IF(OR(C195="Mumbai",H195&gt;=15),"Priority", "Normal")</f>
        <v>Priority</v>
      </c>
    </row>
    <row r="196" spans="1:12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6" t="s">
        <v>51</v>
      </c>
      <c r="L196" s="15" t="str">
        <f>IF(OR(C196="Mumbai",H196&gt;=15),"Priority", "Normal")</f>
        <v>Normal</v>
      </c>
    </row>
    <row r="197" spans="1:12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6" t="s">
        <v>20</v>
      </c>
      <c r="L197" s="15" t="str">
        <f>IF(OR(C197="Mumbai",H197&gt;=15),"Priority", "Normal")</f>
        <v>Normal</v>
      </c>
    </row>
    <row r="198" spans="1:12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6" t="s">
        <v>15</v>
      </c>
      <c r="L198" s="15" t="str">
        <f>IF(OR(C198="Mumbai",H198&gt;=15),"Priority", "Normal")</f>
        <v>Normal</v>
      </c>
    </row>
    <row r="199" spans="1:12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6" t="s">
        <v>51</v>
      </c>
      <c r="L199" s="15" t="str">
        <f>IF(OR(C199="Mumbai",H199&gt;=15),"Priority", "Normal")</f>
        <v>Normal</v>
      </c>
    </row>
    <row r="200" spans="1:12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6" t="s">
        <v>24</v>
      </c>
      <c r="L200" s="15" t="str">
        <f>IF(OR(C200="Mumbai",H200&gt;=15),"Priority", "Normal")</f>
        <v>Normal</v>
      </c>
    </row>
    <row r="201" spans="1:12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6" t="s">
        <v>29</v>
      </c>
      <c r="L201" s="15" t="str">
        <f>IF(OR(C201="Mumbai",H201&gt;=15),"Priority", "Normal")</f>
        <v>Normal</v>
      </c>
    </row>
    <row r="202" spans="1:12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6" t="s">
        <v>20</v>
      </c>
      <c r="L202" s="15" t="str">
        <f>IF(OR(C202="Mumbai",H202&gt;=15),"Priority", "Normal")</f>
        <v>Normal</v>
      </c>
    </row>
    <row r="203" spans="1:12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6" t="s">
        <v>15</v>
      </c>
      <c r="L203" s="15" t="str">
        <f>IF(OR(C203="Mumbai",H203&gt;=15),"Priority", "Normal")</f>
        <v>Normal</v>
      </c>
    </row>
    <row r="204" spans="1:12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6" t="s">
        <v>51</v>
      </c>
      <c r="L204" s="15" t="str">
        <f>IF(OR(C204="Mumbai",H204&gt;=15),"Priority", "Normal")</f>
        <v>Normal</v>
      </c>
    </row>
    <row r="205" spans="1:12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6" t="s">
        <v>20</v>
      </c>
      <c r="L205" s="15" t="str">
        <f>IF(OR(C205="Mumbai",H205&gt;=15),"Priority", "Normal")</f>
        <v>Normal</v>
      </c>
    </row>
    <row r="206" spans="1:12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6" t="s">
        <v>51</v>
      </c>
      <c r="L206" s="15" t="str">
        <f>IF(OR(C206="Mumbai",H206&gt;=15),"Priority", "Normal")</f>
        <v>Priority</v>
      </c>
    </row>
    <row r="207" spans="1:12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6" t="s">
        <v>15</v>
      </c>
      <c r="L207" s="15" t="str">
        <f>IF(OR(C207="Mumbai",H207&gt;=15),"Priority", "Normal")</f>
        <v>Normal</v>
      </c>
    </row>
    <row r="208" spans="1:12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6" t="s">
        <v>24</v>
      </c>
      <c r="L208" s="15" t="str">
        <f>IF(OR(C208="Mumbai",H208&gt;=15),"Priority", "Normal")</f>
        <v>Normal</v>
      </c>
    </row>
    <row r="209" spans="1:12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6" t="s">
        <v>20</v>
      </c>
      <c r="L209" s="15" t="str">
        <f>IF(OR(C209="Mumbai",H209&gt;=15),"Priority", "Normal")</f>
        <v>Normal</v>
      </c>
    </row>
    <row r="210" spans="1:12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6" t="s">
        <v>20</v>
      </c>
      <c r="L210" s="15" t="str">
        <f>IF(OR(C210="Mumbai",H210&gt;=15),"Priority", "Normal")</f>
        <v>Priority</v>
      </c>
    </row>
    <row r="211" spans="1:12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6" t="s">
        <v>29</v>
      </c>
      <c r="L211" s="15" t="str">
        <f>IF(OR(C211="Mumbai",H211&gt;=15),"Priority", "Normal")</f>
        <v>Normal</v>
      </c>
    </row>
    <row r="212" spans="1:12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6" t="s">
        <v>15</v>
      </c>
      <c r="L212" s="15" t="str">
        <f>IF(OR(C212="Mumbai",H212&gt;=15),"Priority", "Normal")</f>
        <v>Normal</v>
      </c>
    </row>
    <row r="213" spans="1:12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6" t="s">
        <v>29</v>
      </c>
      <c r="L213" s="15" t="str">
        <f>IF(OR(C213="Mumbai",H213&gt;=15),"Priority", "Normal")</f>
        <v>Normal</v>
      </c>
    </row>
    <row r="214" spans="1:12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6" t="s">
        <v>15</v>
      </c>
      <c r="L214" s="15" t="str">
        <f>IF(OR(C214="Mumbai",H214&gt;=15),"Priority", "Normal")</f>
        <v>Priority</v>
      </c>
    </row>
    <row r="215" spans="1:12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6" t="s">
        <v>51</v>
      </c>
      <c r="L215" s="15" t="str">
        <f>IF(OR(C215="Mumbai",H215&gt;=15),"Priority", "Normal")</f>
        <v>Normal</v>
      </c>
    </row>
    <row r="216" spans="1:12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6" t="s">
        <v>29</v>
      </c>
      <c r="L216" s="15" t="str">
        <f>IF(OR(C216="Mumbai",H216&gt;=15),"Priority", "Normal")</f>
        <v>Normal</v>
      </c>
    </row>
    <row r="217" spans="1:12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6" t="s">
        <v>29</v>
      </c>
      <c r="L217" s="15" t="str">
        <f>IF(OR(C217="Mumbai",H217&gt;=15),"Priority", "Normal")</f>
        <v>Priority</v>
      </c>
    </row>
    <row r="218" spans="1:12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6" t="s">
        <v>29</v>
      </c>
      <c r="L218" s="15" t="str">
        <f>IF(OR(C218="Mumbai",H218&gt;=15),"Priority", "Normal")</f>
        <v>Normal</v>
      </c>
    </row>
    <row r="219" spans="1:12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6" t="s">
        <v>51</v>
      </c>
      <c r="L219" s="15" t="str">
        <f>IF(OR(C219="Mumbai",H219&gt;=15),"Priority", "Normal")</f>
        <v>Priority</v>
      </c>
    </row>
    <row r="220" spans="1:12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6" t="s">
        <v>29</v>
      </c>
      <c r="L220" s="15" t="str">
        <f>IF(OR(C220="Mumbai",H220&gt;=15),"Priority", "Normal")</f>
        <v>Priority</v>
      </c>
    </row>
    <row r="221" spans="1:12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6" t="s">
        <v>24</v>
      </c>
      <c r="L221" s="15" t="str">
        <f>IF(OR(C221="Mumbai",H221&gt;=15),"Priority", "Normal")</f>
        <v>Normal</v>
      </c>
    </row>
    <row r="222" spans="1:12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6" t="s">
        <v>51</v>
      </c>
      <c r="L222" s="15" t="str">
        <f>IF(OR(C222="Mumbai",H222&gt;=15),"Priority", "Normal")</f>
        <v>Normal</v>
      </c>
    </row>
    <row r="223" spans="1:12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6" t="s">
        <v>15</v>
      </c>
      <c r="L223" s="15" t="str">
        <f>IF(OR(C223="Mumbai",H223&gt;=15),"Priority", "Normal")</f>
        <v>Normal</v>
      </c>
    </row>
    <row r="224" spans="1:12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6" t="s">
        <v>15</v>
      </c>
      <c r="L224" s="15" t="str">
        <f>IF(OR(C224="Mumbai",H224&gt;=15),"Priority", "Normal")</f>
        <v>Normal</v>
      </c>
    </row>
    <row r="225" spans="1:12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6" t="s">
        <v>24</v>
      </c>
      <c r="L225" s="15" t="str">
        <f>IF(OR(C225="Mumbai",H225&gt;=15),"Priority", "Normal")</f>
        <v>Priority</v>
      </c>
    </row>
    <row r="226" spans="1:12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6" t="s">
        <v>20</v>
      </c>
      <c r="L226" s="15" t="str">
        <f>IF(OR(C226="Mumbai",H226&gt;=15),"Priority", "Normal")</f>
        <v>Normal</v>
      </c>
    </row>
    <row r="227" spans="1:12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6" t="s">
        <v>29</v>
      </c>
      <c r="L227" s="15" t="str">
        <f>IF(OR(C227="Mumbai",H227&gt;=15),"Priority", "Normal")</f>
        <v>Normal</v>
      </c>
    </row>
    <row r="228" spans="1:12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6" t="s">
        <v>15</v>
      </c>
      <c r="L228" s="15" t="str">
        <f>IF(OR(C228="Mumbai",H228&gt;=15),"Priority", "Normal")</f>
        <v>Normal</v>
      </c>
    </row>
    <row r="229" spans="1:12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6" t="s">
        <v>24</v>
      </c>
      <c r="L229" s="15" t="str">
        <f>IF(OR(C229="Mumbai",H229&gt;=15),"Priority", "Normal")</f>
        <v>Normal</v>
      </c>
    </row>
    <row r="230" spans="1:12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6" t="s">
        <v>20</v>
      </c>
      <c r="L230" s="15" t="str">
        <f>IF(OR(C230="Mumbai",H230&gt;=15),"Priority", "Normal")</f>
        <v>Normal</v>
      </c>
    </row>
    <row r="231" spans="1:12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6" t="s">
        <v>24</v>
      </c>
      <c r="L231" s="15" t="str">
        <f>IF(OR(C231="Mumbai",H231&gt;=15),"Priority", "Normal")</f>
        <v>Normal</v>
      </c>
    </row>
    <row r="232" spans="1:12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6" t="s">
        <v>20</v>
      </c>
      <c r="L232" s="15" t="str">
        <f>IF(OR(C232="Mumbai",H232&gt;=15),"Priority", "Normal")</f>
        <v>Priority</v>
      </c>
    </row>
    <row r="233" spans="1:12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6" t="s">
        <v>15</v>
      </c>
      <c r="L233" s="15" t="str">
        <f>IF(OR(C233="Mumbai",H233&gt;=15),"Priority", "Normal")</f>
        <v>Normal</v>
      </c>
    </row>
    <row r="234" spans="1:12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6" t="s">
        <v>24</v>
      </c>
      <c r="L234" s="15" t="str">
        <f>IF(OR(C234="Mumbai",H234&gt;=15),"Priority", "Normal")</f>
        <v>Priority</v>
      </c>
    </row>
    <row r="235" spans="1:12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6" t="s">
        <v>51</v>
      </c>
      <c r="L235" s="15" t="str">
        <f>IF(OR(C235="Mumbai",H235&gt;=15),"Priority", "Normal")</f>
        <v>Normal</v>
      </c>
    </row>
    <row r="236" spans="1:12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6" t="s">
        <v>29</v>
      </c>
      <c r="L236" s="15" t="str">
        <f>IF(OR(C236="Mumbai",H236&gt;=15),"Priority", "Normal")</f>
        <v>Priority</v>
      </c>
    </row>
    <row r="237" spans="1:12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6" t="s">
        <v>29</v>
      </c>
      <c r="L237" s="15" t="str">
        <f>IF(OR(C237="Mumbai",H237&gt;=15),"Priority", "Normal")</f>
        <v>Normal</v>
      </c>
    </row>
    <row r="238" spans="1:12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6" t="s">
        <v>15</v>
      </c>
      <c r="L238" s="15" t="str">
        <f>IF(OR(C238="Mumbai",H238&gt;=15),"Priority", "Normal")</f>
        <v>Priority</v>
      </c>
    </row>
    <row r="239" spans="1:12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6" t="s">
        <v>51</v>
      </c>
      <c r="L239" s="15" t="str">
        <f>IF(OR(C239="Mumbai",H239&gt;=15),"Priority", "Normal")</f>
        <v>Normal</v>
      </c>
    </row>
    <row r="240" spans="1:12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6" t="s">
        <v>15</v>
      </c>
      <c r="L240" s="15" t="str">
        <f>IF(OR(C240="Mumbai",H240&gt;=15),"Priority", "Normal")</f>
        <v>Normal</v>
      </c>
    </row>
    <row r="241" spans="1:12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6" t="s">
        <v>29</v>
      </c>
      <c r="L241" s="15" t="str">
        <f>IF(OR(C241="Mumbai",H241&gt;=15),"Priority", "Normal")</f>
        <v>Normal</v>
      </c>
    </row>
    <row r="242" spans="1:12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6" t="s">
        <v>15</v>
      </c>
      <c r="L242" s="15" t="str">
        <f>IF(OR(C242="Mumbai",H242&gt;=15),"Priority", "Normal")</f>
        <v>Normal</v>
      </c>
    </row>
    <row r="243" spans="1:12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6" t="s">
        <v>51</v>
      </c>
      <c r="L243" s="15" t="str">
        <f>IF(OR(C243="Mumbai",H243&gt;=15),"Priority", "Normal")</f>
        <v>Priority</v>
      </c>
    </row>
    <row r="244" spans="1:12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6" t="s">
        <v>24</v>
      </c>
      <c r="L244" s="15" t="str">
        <f>IF(OR(C244="Mumbai",H244&gt;=15),"Priority", "Normal")</f>
        <v>Priority</v>
      </c>
    </row>
    <row r="245" spans="1:12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6" t="s">
        <v>15</v>
      </c>
      <c r="L245" s="15" t="str">
        <f>IF(OR(C245="Mumbai",H245&gt;=15),"Priority", "Normal")</f>
        <v>Priority</v>
      </c>
    </row>
    <row r="246" spans="1:12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6" t="s">
        <v>29</v>
      </c>
      <c r="L246" s="15" t="str">
        <f>IF(OR(C246="Mumbai",H246&gt;=15),"Priority", "Normal")</f>
        <v>Normal</v>
      </c>
    </row>
    <row r="247" spans="1:12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6" t="s">
        <v>51</v>
      </c>
      <c r="L247" s="15" t="str">
        <f>IF(OR(C247="Mumbai",H247&gt;=15),"Priority", "Normal")</f>
        <v>Normal</v>
      </c>
    </row>
    <row r="248" spans="1:12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6" t="s">
        <v>20</v>
      </c>
      <c r="L248" s="15" t="str">
        <f>IF(OR(C248="Mumbai",H248&gt;=15),"Priority", "Normal")</f>
        <v>Normal</v>
      </c>
    </row>
    <row r="249" spans="1:12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6" t="s">
        <v>29</v>
      </c>
      <c r="L249" s="15" t="str">
        <f>IF(OR(C249="Mumbai",H249&gt;=15),"Priority", "Normal")</f>
        <v>Normal</v>
      </c>
    </row>
    <row r="250" spans="1:12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6" t="s">
        <v>20</v>
      </c>
      <c r="L250" s="15" t="str">
        <f>IF(OR(C250="Mumbai",H250&gt;=15),"Priority", "Normal")</f>
        <v>Normal</v>
      </c>
    </row>
    <row r="251" spans="1:12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6" t="s">
        <v>29</v>
      </c>
      <c r="L251" s="15" t="str">
        <f>IF(OR(C251="Mumbai",H251&gt;=15),"Priority", "Normal")</f>
        <v>Normal</v>
      </c>
    </row>
    <row r="252" spans="1:12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6" t="s">
        <v>51</v>
      </c>
      <c r="L252" s="15" t="str">
        <f>IF(OR(C252="Mumbai",H252&gt;=15),"Priority", "Normal")</f>
        <v>Priority</v>
      </c>
    </row>
    <row r="253" spans="1:12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6" t="s">
        <v>20</v>
      </c>
      <c r="L253" s="15" t="str">
        <f>IF(OR(C253="Mumbai",H253&gt;=15),"Priority", "Normal")</f>
        <v>Normal</v>
      </c>
    </row>
    <row r="254" spans="1:12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6" t="s">
        <v>29</v>
      </c>
      <c r="L254" s="15" t="str">
        <f>IF(OR(C254="Mumbai",H254&gt;=15),"Priority", "Normal")</f>
        <v>Normal</v>
      </c>
    </row>
    <row r="255" spans="1:12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6" t="s">
        <v>24</v>
      </c>
      <c r="L255" s="15" t="str">
        <f>IF(OR(C255="Mumbai",H255&gt;=15),"Priority", "Normal")</f>
        <v>Priority</v>
      </c>
    </row>
    <row r="256" spans="1:12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6" t="s">
        <v>20</v>
      </c>
      <c r="L256" s="15" t="str">
        <f>IF(OR(C256="Mumbai",H256&gt;=15),"Priority", "Normal")</f>
        <v>Normal</v>
      </c>
    </row>
    <row r="257" spans="1:12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6" t="s">
        <v>15</v>
      </c>
      <c r="L257" s="15" t="str">
        <f>IF(OR(C257="Mumbai",H257&gt;=15),"Priority", "Normal")</f>
        <v>Normal</v>
      </c>
    </row>
    <row r="258" spans="1:12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6" t="s">
        <v>15</v>
      </c>
      <c r="L258" s="15" t="str">
        <f>IF(OR(C258="Mumbai",H258&gt;=15),"Priority", "Normal")</f>
        <v>Normal</v>
      </c>
    </row>
    <row r="259" spans="1:12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6" t="s">
        <v>29</v>
      </c>
      <c r="L259" s="15" t="str">
        <f>IF(OR(C259="Mumbai",H259&gt;=15),"Priority", "Normal")</f>
        <v>Normal</v>
      </c>
    </row>
    <row r="260" spans="1:12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6" t="s">
        <v>15</v>
      </c>
      <c r="L260" s="15" t="str">
        <f>IF(OR(C260="Mumbai",H260&gt;=15),"Priority", "Normal")</f>
        <v>Priority</v>
      </c>
    </row>
    <row r="261" spans="1:12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6" t="s">
        <v>29</v>
      </c>
      <c r="L261" s="15" t="str">
        <f>IF(OR(C261="Mumbai",H261&gt;=15),"Priority", "Normal")</f>
        <v>Priority</v>
      </c>
    </row>
    <row r="262" spans="1:12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6" t="s">
        <v>51</v>
      </c>
      <c r="L262" s="15" t="str">
        <f>IF(OR(C262="Mumbai",H262&gt;=15),"Priority", "Normal")</f>
        <v>Normal</v>
      </c>
    </row>
    <row r="263" spans="1:12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6" t="s">
        <v>15</v>
      </c>
      <c r="L263" s="15" t="str">
        <f>IF(OR(C263="Mumbai",H263&gt;=15),"Priority", "Normal")</f>
        <v>Priority</v>
      </c>
    </row>
    <row r="264" spans="1:12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6" t="s">
        <v>51</v>
      </c>
      <c r="L264" s="15" t="str">
        <f>IF(OR(C264="Mumbai",H264&gt;=15),"Priority", "Normal")</f>
        <v>Priority</v>
      </c>
    </row>
    <row r="265" spans="1:12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6" t="s">
        <v>20</v>
      </c>
      <c r="L265" s="15" t="str">
        <f>IF(OR(C265="Mumbai",H265&gt;=15),"Priority", "Normal")</f>
        <v>Normal</v>
      </c>
    </row>
    <row r="266" spans="1:12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6" t="s">
        <v>51</v>
      </c>
      <c r="L266" s="15" t="str">
        <f>IF(OR(C266="Mumbai",H266&gt;=15),"Priority", "Normal")</f>
        <v>Normal</v>
      </c>
    </row>
    <row r="267" spans="1:12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6" t="s">
        <v>51</v>
      </c>
      <c r="L267" s="15" t="str">
        <f>IF(OR(C267="Mumbai",H267&gt;=15),"Priority", "Normal")</f>
        <v>Normal</v>
      </c>
    </row>
    <row r="268" spans="1:12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6" t="s">
        <v>20</v>
      </c>
      <c r="L268" s="15" t="str">
        <f>IF(OR(C268="Mumbai",H268&gt;=15),"Priority", "Normal")</f>
        <v>Priority</v>
      </c>
    </row>
    <row r="269" spans="1:12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6" t="s">
        <v>20</v>
      </c>
      <c r="L269" s="15" t="str">
        <f>IF(OR(C269="Mumbai",H269&gt;=15),"Priority", "Normal")</f>
        <v>Priority</v>
      </c>
    </row>
    <row r="270" spans="1:12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6" t="s">
        <v>15</v>
      </c>
      <c r="L270" s="15" t="str">
        <f>IF(OR(C270="Mumbai",H270&gt;=15),"Priority", "Normal")</f>
        <v>Normal</v>
      </c>
    </row>
    <row r="271" spans="1:12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6" t="s">
        <v>51</v>
      </c>
      <c r="L271" s="15" t="str">
        <f>IF(OR(C271="Mumbai",H271&gt;=15),"Priority", "Normal")</f>
        <v>Normal</v>
      </c>
    </row>
    <row r="272" spans="1:12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6" t="s">
        <v>29</v>
      </c>
      <c r="L272" s="15" t="str">
        <f>IF(OR(C272="Mumbai",H272&gt;=15),"Priority", "Normal")</f>
        <v>Priority</v>
      </c>
    </row>
    <row r="273" spans="1:12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6" t="s">
        <v>20</v>
      </c>
      <c r="L273" s="15" t="str">
        <f>IF(OR(C273="Mumbai",H273&gt;=15),"Priority", "Normal")</f>
        <v>Priority</v>
      </c>
    </row>
    <row r="274" spans="1:12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6" t="s">
        <v>20</v>
      </c>
      <c r="L274" s="15" t="str">
        <f>IF(OR(C274="Mumbai",H274&gt;=15),"Priority", "Normal")</f>
        <v>Normal</v>
      </c>
    </row>
    <row r="275" spans="1:12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6" t="s">
        <v>20</v>
      </c>
      <c r="L275" s="15" t="str">
        <f>IF(OR(C275="Mumbai",H275&gt;=15),"Priority", "Normal")</f>
        <v>Normal</v>
      </c>
    </row>
    <row r="276" spans="1:12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6" t="s">
        <v>20</v>
      </c>
      <c r="L276" s="15" t="str">
        <f>IF(OR(C276="Mumbai",H276&gt;=15),"Priority", "Normal")</f>
        <v>Priority</v>
      </c>
    </row>
    <row r="277" spans="1:12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6" t="s">
        <v>24</v>
      </c>
      <c r="L277" s="15" t="str">
        <f>IF(OR(C277="Mumbai",H277&gt;=15),"Priority", "Normal")</f>
        <v>Priority</v>
      </c>
    </row>
    <row r="278" spans="1:12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6" t="s">
        <v>15</v>
      </c>
      <c r="L278" s="15" t="str">
        <f>IF(OR(C278="Mumbai",H278&gt;=15),"Priority", "Normal")</f>
        <v>Normal</v>
      </c>
    </row>
    <row r="279" spans="1:12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6" t="s">
        <v>20</v>
      </c>
      <c r="L279" s="15" t="str">
        <f>IF(OR(C279="Mumbai",H279&gt;=15),"Priority", "Normal")</f>
        <v>Normal</v>
      </c>
    </row>
    <row r="280" spans="1:12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6" t="s">
        <v>15</v>
      </c>
      <c r="L280" s="15" t="str">
        <f>IF(OR(C280="Mumbai",H280&gt;=15),"Priority", "Normal")</f>
        <v>Normal</v>
      </c>
    </row>
    <row r="281" spans="1:12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6" t="s">
        <v>51</v>
      </c>
      <c r="L281" s="15" t="str">
        <f>IF(OR(C281="Mumbai",H281&gt;=15),"Priority", "Normal")</f>
        <v>Priority</v>
      </c>
    </row>
    <row r="282" spans="1:12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6" t="s">
        <v>24</v>
      </c>
      <c r="L282" s="15" t="str">
        <f>IF(OR(C282="Mumbai",H282&gt;=15),"Priority", "Normal")</f>
        <v>Normal</v>
      </c>
    </row>
    <row r="283" spans="1:12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6" t="s">
        <v>29</v>
      </c>
      <c r="L283" s="15" t="str">
        <f>IF(OR(C283="Mumbai",H283&gt;=15),"Priority", "Normal")</f>
        <v>Normal</v>
      </c>
    </row>
    <row r="284" spans="1:12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6" t="s">
        <v>15</v>
      </c>
      <c r="L284" s="15" t="str">
        <f>IF(OR(C284="Mumbai",H284&gt;=15),"Priority", "Normal")</f>
        <v>Normal</v>
      </c>
    </row>
    <row r="285" spans="1:12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6" t="s">
        <v>15</v>
      </c>
      <c r="L285" s="15" t="str">
        <f>IF(OR(C285="Mumbai",H285&gt;=15),"Priority", "Normal")</f>
        <v>Normal</v>
      </c>
    </row>
    <row r="286" spans="1:12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6" t="s">
        <v>20</v>
      </c>
      <c r="L286" s="15" t="str">
        <f>IF(OR(C286="Mumbai",H286&gt;=15),"Priority", "Normal")</f>
        <v>Priority</v>
      </c>
    </row>
    <row r="287" spans="1:12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6" t="s">
        <v>15</v>
      </c>
      <c r="L287" s="15" t="str">
        <f>IF(OR(C287="Mumbai",H287&gt;=15),"Priority", "Normal")</f>
        <v>Normal</v>
      </c>
    </row>
    <row r="288" spans="1:12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6" t="s">
        <v>51</v>
      </c>
      <c r="L288" s="15" t="str">
        <f>IF(OR(C288="Mumbai",H288&gt;=15),"Priority", "Normal")</f>
        <v>Normal</v>
      </c>
    </row>
    <row r="289" spans="1:12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6" t="s">
        <v>29</v>
      </c>
      <c r="L289" s="15" t="str">
        <f>IF(OR(C289="Mumbai",H289&gt;=15),"Priority", "Normal")</f>
        <v>Normal</v>
      </c>
    </row>
    <row r="290" spans="1:12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6" t="s">
        <v>24</v>
      </c>
      <c r="L290" s="15" t="str">
        <f>IF(OR(C290="Mumbai",H290&gt;=15),"Priority", "Normal")</f>
        <v>Normal</v>
      </c>
    </row>
    <row r="291" spans="1:12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6" t="s">
        <v>29</v>
      </c>
      <c r="L291" s="15" t="str">
        <f>IF(OR(C291="Mumbai",H291&gt;=15),"Priority", "Normal")</f>
        <v>Priority</v>
      </c>
    </row>
    <row r="292" spans="1:12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6" t="s">
        <v>20</v>
      </c>
      <c r="L292" s="15" t="str">
        <f>IF(OR(C292="Mumbai",H292&gt;=15),"Priority", "Normal")</f>
        <v>Normal</v>
      </c>
    </row>
    <row r="293" spans="1:12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6" t="s">
        <v>20</v>
      </c>
      <c r="L293" s="15" t="str">
        <f>IF(OR(C293="Mumbai",H293&gt;=15),"Priority", "Normal")</f>
        <v>Normal</v>
      </c>
    </row>
    <row r="294" spans="1:12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6" t="s">
        <v>20</v>
      </c>
      <c r="L294" s="15" t="str">
        <f>IF(OR(C294="Mumbai",H294&gt;=15),"Priority", "Normal")</f>
        <v>Priority</v>
      </c>
    </row>
    <row r="295" spans="1:12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6" t="s">
        <v>15</v>
      </c>
      <c r="L295" s="15" t="str">
        <f>IF(OR(C295="Mumbai",H295&gt;=15),"Priority", "Normal")</f>
        <v>Normal</v>
      </c>
    </row>
    <row r="296" spans="1:12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6" t="s">
        <v>15</v>
      </c>
      <c r="L296" s="15" t="str">
        <f>IF(OR(C296="Mumbai",H296&gt;=15),"Priority", "Normal")</f>
        <v>Priority</v>
      </c>
    </row>
    <row r="297" spans="1:12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6" t="s">
        <v>51</v>
      </c>
      <c r="L297" s="15" t="str">
        <f>IF(OR(C297="Mumbai",H297&gt;=15),"Priority", "Normal")</f>
        <v>Priority</v>
      </c>
    </row>
    <row r="298" spans="1:12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6" t="s">
        <v>29</v>
      </c>
      <c r="L298" s="15" t="str">
        <f>IF(OR(C298="Mumbai",H298&gt;=15),"Priority", "Normal")</f>
        <v>Normal</v>
      </c>
    </row>
    <row r="299" spans="1:12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6" t="s">
        <v>24</v>
      </c>
      <c r="L299" s="15" t="str">
        <f>IF(OR(C299="Mumbai",H299&gt;=15),"Priority", "Normal")</f>
        <v>Normal</v>
      </c>
    </row>
    <row r="300" spans="1:12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6" t="s">
        <v>15</v>
      </c>
      <c r="L300" s="15" t="str">
        <f>IF(OR(C300="Mumbai",H300&gt;=15),"Priority", "Normal")</f>
        <v>Normal</v>
      </c>
    </row>
    <row r="301" spans="1:12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6" t="s">
        <v>24</v>
      </c>
      <c r="L301" s="15" t="str">
        <f>IF(OR(C301="Mumbai",H301&gt;=15),"Priority", "Normal")</f>
        <v>Normal</v>
      </c>
    </row>
    <row r="302" spans="1:12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6" t="s">
        <v>24</v>
      </c>
      <c r="L302" s="15" t="str">
        <f>IF(OR(C302="Mumbai",H302&gt;=15),"Priority", "Normal")</f>
        <v>Normal</v>
      </c>
    </row>
    <row r="303" spans="1:12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6" t="s">
        <v>24</v>
      </c>
      <c r="L303" s="15" t="str">
        <f>IF(OR(C303="Mumbai",H303&gt;=15),"Priority", "Normal")</f>
        <v>Priority</v>
      </c>
    </row>
    <row r="304" spans="1:12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6" t="s">
        <v>15</v>
      </c>
      <c r="L304" s="15" t="str">
        <f>IF(OR(C304="Mumbai",H304&gt;=15),"Priority", "Normal")</f>
        <v>Priority</v>
      </c>
    </row>
    <row r="305" spans="1:12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6" t="s">
        <v>51</v>
      </c>
      <c r="L305" s="15" t="str">
        <f>IF(OR(C305="Mumbai",H305&gt;=15),"Priority", "Normal")</f>
        <v>Normal</v>
      </c>
    </row>
    <row r="306" spans="1:12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6" t="s">
        <v>51</v>
      </c>
      <c r="L306" s="15" t="str">
        <f>IF(OR(C306="Mumbai",H306&gt;=15),"Priority", "Normal")</f>
        <v>Priority</v>
      </c>
    </row>
    <row r="307" spans="1:12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6" t="s">
        <v>20</v>
      </c>
      <c r="L307" s="15" t="str">
        <f>IF(OR(C307="Mumbai",H307&gt;=15),"Priority", "Normal")</f>
        <v>Normal</v>
      </c>
    </row>
    <row r="308" spans="1:12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6" t="s">
        <v>51</v>
      </c>
      <c r="L308" s="15" t="str">
        <f>IF(OR(C308="Mumbai",H308&gt;=15),"Priority", "Normal")</f>
        <v>Normal</v>
      </c>
    </row>
    <row r="309" spans="1:12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6" t="s">
        <v>20</v>
      </c>
      <c r="L309" s="15" t="str">
        <f>IF(OR(C309="Mumbai",H309&gt;=15),"Priority", "Normal")</f>
        <v>Normal</v>
      </c>
    </row>
    <row r="310" spans="1:12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6" t="s">
        <v>24</v>
      </c>
      <c r="L310" s="15" t="str">
        <f>IF(OR(C310="Mumbai",H310&gt;=15),"Priority", "Normal")</f>
        <v>Normal</v>
      </c>
    </row>
    <row r="311" spans="1:12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6" t="s">
        <v>29</v>
      </c>
      <c r="L311" s="15" t="str">
        <f>IF(OR(C311="Mumbai",H311&gt;=15),"Priority", "Normal")</f>
        <v>Normal</v>
      </c>
    </row>
    <row r="312" spans="1:12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6" t="s">
        <v>20</v>
      </c>
      <c r="L312" s="15" t="str">
        <f>IF(OR(C312="Mumbai",H312&gt;=15),"Priority", "Normal")</f>
        <v>Normal</v>
      </c>
    </row>
    <row r="313" spans="1:12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6" t="s">
        <v>24</v>
      </c>
      <c r="L313" s="15" t="str">
        <f>IF(OR(C313="Mumbai",H313&gt;=15),"Priority", "Normal")</f>
        <v>Normal</v>
      </c>
    </row>
    <row r="314" spans="1:12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6" t="s">
        <v>15</v>
      </c>
      <c r="L314" s="15" t="str">
        <f>IF(OR(C314="Mumbai",H314&gt;=15),"Priority", "Normal")</f>
        <v>Normal</v>
      </c>
    </row>
    <row r="315" spans="1:12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6" t="s">
        <v>29</v>
      </c>
      <c r="L315" s="15" t="str">
        <f>IF(OR(C315="Mumbai",H315&gt;=15),"Priority", "Normal")</f>
        <v>Normal</v>
      </c>
    </row>
    <row r="316" spans="1:12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6" t="s">
        <v>15</v>
      </c>
      <c r="L316" s="15" t="str">
        <f>IF(OR(C316="Mumbai",H316&gt;=15),"Priority", "Normal")</f>
        <v>Normal</v>
      </c>
    </row>
    <row r="317" spans="1:12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6" t="s">
        <v>20</v>
      </c>
      <c r="L317" s="15" t="str">
        <f>IF(OR(C317="Mumbai",H317&gt;=15),"Priority", "Normal")</f>
        <v>Normal</v>
      </c>
    </row>
    <row r="318" spans="1:12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6" t="s">
        <v>51</v>
      </c>
      <c r="L318" s="15" t="str">
        <f>IF(OR(C318="Mumbai",H318&gt;=15),"Priority", "Normal")</f>
        <v>Normal</v>
      </c>
    </row>
    <row r="319" spans="1:12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6" t="s">
        <v>29</v>
      </c>
      <c r="L319" s="15" t="str">
        <f>IF(OR(C319="Mumbai",H319&gt;=15),"Priority", "Normal")</f>
        <v>Normal</v>
      </c>
    </row>
    <row r="320" spans="1:12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6" t="s">
        <v>15</v>
      </c>
      <c r="L320" s="15" t="str">
        <f>IF(OR(C320="Mumbai",H320&gt;=15),"Priority", "Normal")</f>
        <v>Normal</v>
      </c>
    </row>
    <row r="321" spans="1:12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6" t="s">
        <v>20</v>
      </c>
      <c r="L321" s="15" t="str">
        <f>IF(OR(C321="Mumbai",H321&gt;=15),"Priority", "Normal")</f>
        <v>Priority</v>
      </c>
    </row>
    <row r="322" spans="1:12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6" t="s">
        <v>51</v>
      </c>
      <c r="L322" s="15" t="str">
        <f>IF(OR(C322="Mumbai",H322&gt;=15),"Priority", "Normal")</f>
        <v>Normal</v>
      </c>
    </row>
    <row r="323" spans="1:12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6" t="s">
        <v>15</v>
      </c>
      <c r="L323" s="15" t="str">
        <f>IF(OR(C323="Mumbai",H323&gt;=15),"Priority", "Normal")</f>
        <v>Priority</v>
      </c>
    </row>
    <row r="324" spans="1:12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6" t="s">
        <v>15</v>
      </c>
      <c r="L324" s="15" t="str">
        <f>IF(OR(C324="Mumbai",H324&gt;=15),"Priority", "Normal")</f>
        <v>Priority</v>
      </c>
    </row>
    <row r="325" spans="1:12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6" t="s">
        <v>20</v>
      </c>
      <c r="L325" s="15" t="str">
        <f>IF(OR(C325="Mumbai",H325&gt;=15),"Priority", "Normal")</f>
        <v>Priority</v>
      </c>
    </row>
    <row r="326" spans="1:12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6" t="s">
        <v>20</v>
      </c>
      <c r="L326" s="15" t="str">
        <f>IF(OR(C326="Mumbai",H326&gt;=15),"Priority", "Normal")</f>
        <v>Normal</v>
      </c>
    </row>
    <row r="327" spans="1:12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6" t="s">
        <v>15</v>
      </c>
      <c r="L327" s="15" t="str">
        <f>IF(OR(C327="Mumbai",H327&gt;=15),"Priority", "Normal")</f>
        <v>Normal</v>
      </c>
    </row>
    <row r="328" spans="1:12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6" t="s">
        <v>15</v>
      </c>
      <c r="L328" s="15" t="str">
        <f>IF(OR(C328="Mumbai",H328&gt;=15),"Priority", "Normal")</f>
        <v>Normal</v>
      </c>
    </row>
    <row r="329" spans="1:12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6" t="s">
        <v>29</v>
      </c>
      <c r="L329" s="15" t="str">
        <f>IF(OR(C329="Mumbai",H329&gt;=15),"Priority", "Normal")</f>
        <v>Priority</v>
      </c>
    </row>
    <row r="330" spans="1:12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6" t="s">
        <v>29</v>
      </c>
      <c r="L330" s="15" t="str">
        <f>IF(OR(C330="Mumbai",H330&gt;=15),"Priority", "Normal")</f>
        <v>Normal</v>
      </c>
    </row>
    <row r="331" spans="1:12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6" t="s">
        <v>51</v>
      </c>
      <c r="L331" s="15" t="str">
        <f>IF(OR(C331="Mumbai",H331&gt;=15),"Priority", "Normal")</f>
        <v>Normal</v>
      </c>
    </row>
    <row r="332" spans="1:12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6" t="s">
        <v>15</v>
      </c>
      <c r="L332" s="15" t="str">
        <f>IF(OR(C332="Mumbai",H332&gt;=15),"Priority", "Normal")</f>
        <v>Normal</v>
      </c>
    </row>
    <row r="333" spans="1:12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6" t="s">
        <v>15</v>
      </c>
      <c r="L333" s="15" t="str">
        <f>IF(OR(C333="Mumbai",H333&gt;=15),"Priority", "Normal")</f>
        <v>Normal</v>
      </c>
    </row>
    <row r="334" spans="1:12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6" t="s">
        <v>51</v>
      </c>
      <c r="L334" s="15" t="str">
        <f>IF(OR(C334="Mumbai",H334&gt;=15),"Priority", "Normal")</f>
        <v>Priority</v>
      </c>
    </row>
    <row r="335" spans="1:12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6" t="s">
        <v>51</v>
      </c>
      <c r="L335" s="15" t="str">
        <f>IF(OR(C335="Mumbai",H335&gt;=15),"Priority", "Normal")</f>
        <v>Normal</v>
      </c>
    </row>
    <row r="336" spans="1:12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6" t="s">
        <v>15</v>
      </c>
      <c r="L336" s="15" t="str">
        <f>IF(OR(C336="Mumbai",H336&gt;=15),"Priority", "Normal")</f>
        <v>Normal</v>
      </c>
    </row>
    <row r="337" spans="1:12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6" t="s">
        <v>29</v>
      </c>
      <c r="L337" s="15" t="str">
        <f>IF(OR(C337="Mumbai",H337&gt;=15),"Priority", "Normal")</f>
        <v>Normal</v>
      </c>
    </row>
    <row r="338" spans="1:12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6" t="s">
        <v>29</v>
      </c>
      <c r="L338" s="15" t="str">
        <f>IF(OR(C338="Mumbai",H338&gt;=15),"Priority", "Normal")</f>
        <v>Normal</v>
      </c>
    </row>
    <row r="339" spans="1:12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6" t="s">
        <v>15</v>
      </c>
      <c r="L339" s="15" t="str">
        <f>IF(OR(C339="Mumbai",H339&gt;=15),"Priority", "Normal")</f>
        <v>Normal</v>
      </c>
    </row>
    <row r="340" spans="1:12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6" t="s">
        <v>20</v>
      </c>
      <c r="L340" s="15" t="str">
        <f>IF(OR(C340="Mumbai",H340&gt;=15),"Priority", "Normal")</f>
        <v>Normal</v>
      </c>
    </row>
    <row r="341" spans="1:12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6" t="s">
        <v>51</v>
      </c>
      <c r="L341" s="15" t="str">
        <f>IF(OR(C341="Mumbai",H341&gt;=15),"Priority", "Normal")</f>
        <v>Normal</v>
      </c>
    </row>
    <row r="342" spans="1:12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6" t="s">
        <v>20</v>
      </c>
      <c r="L342" s="15" t="str">
        <f>IF(OR(C342="Mumbai",H342&gt;=15),"Priority", "Normal")</f>
        <v>Priority</v>
      </c>
    </row>
    <row r="343" spans="1:12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6" t="s">
        <v>29</v>
      </c>
      <c r="L343" s="15" t="str">
        <f>IF(OR(C343="Mumbai",H343&gt;=15),"Priority", "Normal")</f>
        <v>Priority</v>
      </c>
    </row>
    <row r="344" spans="1:12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6" t="s">
        <v>15</v>
      </c>
      <c r="L344" s="15" t="str">
        <f>IF(OR(C344="Mumbai",H344&gt;=15),"Priority", "Normal")</f>
        <v>Priority</v>
      </c>
    </row>
    <row r="345" spans="1:12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6" t="s">
        <v>24</v>
      </c>
      <c r="L345" s="15" t="str">
        <f>IF(OR(C345="Mumbai",H345&gt;=15),"Priority", "Normal")</f>
        <v>Normal</v>
      </c>
    </row>
    <row r="346" spans="1:12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6" t="s">
        <v>29</v>
      </c>
      <c r="L346" s="15" t="str">
        <f>IF(OR(C346="Mumbai",H346&gt;=15),"Priority", "Normal")</f>
        <v>Normal</v>
      </c>
    </row>
    <row r="347" spans="1:12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6" t="s">
        <v>29</v>
      </c>
      <c r="L347" s="15" t="str">
        <f>IF(OR(C347="Mumbai",H347&gt;=15),"Priority", "Normal")</f>
        <v>Priority</v>
      </c>
    </row>
    <row r="348" spans="1:12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6" t="s">
        <v>24</v>
      </c>
      <c r="L348" s="15" t="str">
        <f>IF(OR(C348="Mumbai",H348&gt;=15),"Priority", "Normal")</f>
        <v>Priority</v>
      </c>
    </row>
    <row r="349" spans="1:12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6" t="s">
        <v>15</v>
      </c>
      <c r="L349" s="15" t="str">
        <f>IF(OR(C349="Mumbai",H349&gt;=15),"Priority", "Normal")</f>
        <v>Normal</v>
      </c>
    </row>
    <row r="350" spans="1:12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6" t="s">
        <v>20</v>
      </c>
      <c r="L350" s="15" t="str">
        <f>IF(OR(C350="Mumbai",H350&gt;=15),"Priority", "Normal")</f>
        <v>Normal</v>
      </c>
    </row>
    <row r="351" spans="1:12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6" t="s">
        <v>29</v>
      </c>
      <c r="L351" s="15" t="str">
        <f>IF(OR(C351="Mumbai",H351&gt;=15),"Priority", "Normal")</f>
        <v>Normal</v>
      </c>
    </row>
    <row r="352" spans="1:12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6" t="s">
        <v>15</v>
      </c>
      <c r="L352" s="15" t="str">
        <f>IF(OR(C352="Mumbai",H352&gt;=15),"Priority", "Normal")</f>
        <v>Normal</v>
      </c>
    </row>
    <row r="353" spans="1:12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6" t="s">
        <v>15</v>
      </c>
      <c r="L353" s="15" t="str">
        <f>IF(OR(C353="Mumbai",H353&gt;=15),"Priority", "Normal")</f>
        <v>Normal</v>
      </c>
    </row>
    <row r="354" spans="1:12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6" t="s">
        <v>24</v>
      </c>
      <c r="L354" s="15" t="str">
        <f>IF(OR(C354="Mumbai",H354&gt;=15),"Priority", "Normal")</f>
        <v>Normal</v>
      </c>
    </row>
    <row r="355" spans="1:12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6" t="s">
        <v>51</v>
      </c>
      <c r="L355" s="15" t="str">
        <f>IF(OR(C355="Mumbai",H355&gt;=15),"Priority", "Normal")</f>
        <v>Priority</v>
      </c>
    </row>
    <row r="356" spans="1:12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6" t="s">
        <v>51</v>
      </c>
      <c r="L356" s="15" t="str">
        <f>IF(OR(C356="Mumbai",H356&gt;=15),"Priority", "Normal")</f>
        <v>Normal</v>
      </c>
    </row>
    <row r="357" spans="1:12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6" t="s">
        <v>15</v>
      </c>
      <c r="L357" s="15" t="str">
        <f>IF(OR(C357="Mumbai",H357&gt;=15),"Priority", "Normal")</f>
        <v>Priority</v>
      </c>
    </row>
    <row r="358" spans="1:12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6" t="s">
        <v>51</v>
      </c>
      <c r="L358" s="15" t="str">
        <f>IF(OR(C358="Mumbai",H358&gt;=15),"Priority", "Normal")</f>
        <v>Normal</v>
      </c>
    </row>
    <row r="359" spans="1:12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6" t="s">
        <v>20</v>
      </c>
      <c r="L359" s="15" t="str">
        <f>IF(OR(C359="Mumbai",H359&gt;=15),"Priority", "Normal")</f>
        <v>Priority</v>
      </c>
    </row>
    <row r="360" spans="1:12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6" t="s">
        <v>15</v>
      </c>
      <c r="L360" s="15" t="str">
        <f>IF(OR(C360="Mumbai",H360&gt;=15),"Priority", "Normal")</f>
        <v>Normal</v>
      </c>
    </row>
    <row r="361" spans="1:12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6" t="s">
        <v>15</v>
      </c>
      <c r="L361" s="15" t="str">
        <f>IF(OR(C361="Mumbai",H361&gt;=15),"Priority", "Normal")</f>
        <v>Normal</v>
      </c>
    </row>
    <row r="362" spans="1:12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6" t="s">
        <v>20</v>
      </c>
      <c r="L362" s="15" t="str">
        <f>IF(OR(C362="Mumbai",H362&gt;=15),"Priority", "Normal")</f>
        <v>Normal</v>
      </c>
    </row>
    <row r="363" spans="1:12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6" t="s">
        <v>29</v>
      </c>
      <c r="L363" s="15" t="str">
        <f>IF(OR(C363="Mumbai",H363&gt;=15),"Priority", "Normal")</f>
        <v>Normal</v>
      </c>
    </row>
    <row r="364" spans="1:12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6" t="s">
        <v>15</v>
      </c>
      <c r="L364" s="15" t="str">
        <f>IF(OR(C364="Mumbai",H364&gt;=15),"Priority", "Normal")</f>
        <v>Normal</v>
      </c>
    </row>
    <row r="365" spans="1:12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6" t="s">
        <v>51</v>
      </c>
      <c r="L365" s="15" t="str">
        <f>IF(OR(C365="Mumbai",H365&gt;=15),"Priority", "Normal")</f>
        <v>Priority</v>
      </c>
    </row>
    <row r="366" spans="1:12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6" t="s">
        <v>20</v>
      </c>
      <c r="L366" s="15" t="str">
        <f>IF(OR(C366="Mumbai",H366&gt;=15),"Priority", "Normal")</f>
        <v>Normal</v>
      </c>
    </row>
    <row r="367" spans="1:12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6" t="s">
        <v>29</v>
      </c>
      <c r="L367" s="15" t="str">
        <f>IF(OR(C367="Mumbai",H367&gt;=15),"Priority", "Normal")</f>
        <v>Normal</v>
      </c>
    </row>
    <row r="368" spans="1:12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6" t="s">
        <v>29</v>
      </c>
      <c r="L368" s="15" t="str">
        <f>IF(OR(C368="Mumbai",H368&gt;=15),"Priority", "Normal")</f>
        <v>Normal</v>
      </c>
    </row>
    <row r="369" spans="1:12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6" t="s">
        <v>24</v>
      </c>
      <c r="L369" s="15" t="str">
        <f>IF(OR(C369="Mumbai",H369&gt;=15),"Priority", "Normal")</f>
        <v>Priority</v>
      </c>
    </row>
    <row r="370" spans="1:12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6" t="s">
        <v>15</v>
      </c>
      <c r="L370" s="15" t="str">
        <f>IF(OR(C370="Mumbai",H370&gt;=15),"Priority", "Normal")</f>
        <v>Normal</v>
      </c>
    </row>
    <row r="371" spans="1:12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6" t="s">
        <v>15</v>
      </c>
      <c r="L371" s="15" t="str">
        <f>IF(OR(C371="Mumbai",H371&gt;=15),"Priority", "Normal")</f>
        <v>Priority</v>
      </c>
    </row>
    <row r="372" spans="1:12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6" t="s">
        <v>20</v>
      </c>
      <c r="L372" s="15" t="str">
        <f>IF(OR(C372="Mumbai",H372&gt;=15),"Priority", "Normal")</f>
        <v>Priority</v>
      </c>
    </row>
    <row r="373" spans="1:12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6" t="s">
        <v>15</v>
      </c>
      <c r="L373" s="15" t="str">
        <f>IF(OR(C373="Mumbai",H373&gt;=15),"Priority", "Normal")</f>
        <v>Normal</v>
      </c>
    </row>
    <row r="374" spans="1:12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6" t="s">
        <v>20</v>
      </c>
      <c r="L374" s="15" t="str">
        <f>IF(OR(C374="Mumbai",H374&gt;=15),"Priority", "Normal")</f>
        <v>Normal</v>
      </c>
    </row>
    <row r="375" spans="1:12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6" t="s">
        <v>51</v>
      </c>
      <c r="L375" s="15" t="str">
        <f>IF(OR(C375="Mumbai",H375&gt;=15),"Priority", "Normal")</f>
        <v>Normal</v>
      </c>
    </row>
    <row r="376" spans="1:12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6" t="s">
        <v>24</v>
      </c>
      <c r="L376" s="15" t="str">
        <f>IF(OR(C376="Mumbai",H376&gt;=15),"Priority", "Normal")</f>
        <v>Normal</v>
      </c>
    </row>
    <row r="377" spans="1:12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6" t="s">
        <v>20</v>
      </c>
      <c r="L377" s="15" t="str">
        <f>IF(OR(C377="Mumbai",H377&gt;=15),"Priority", "Normal")</f>
        <v>Normal</v>
      </c>
    </row>
    <row r="378" spans="1:12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6" t="s">
        <v>24</v>
      </c>
      <c r="L378" s="15" t="str">
        <f>IF(OR(C378="Mumbai",H378&gt;=15),"Priority", "Normal")</f>
        <v>Priority</v>
      </c>
    </row>
    <row r="379" spans="1:12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6" t="s">
        <v>51</v>
      </c>
      <c r="L379" s="15" t="str">
        <f>IF(OR(C379="Mumbai",H379&gt;=15),"Priority", "Normal")</f>
        <v>Normal</v>
      </c>
    </row>
    <row r="380" spans="1:12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6" t="s">
        <v>20</v>
      </c>
      <c r="L380" s="15" t="str">
        <f>IF(OR(C380="Mumbai",H380&gt;=15),"Priority", "Normal")</f>
        <v>Priority</v>
      </c>
    </row>
    <row r="381" spans="1:12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6" t="s">
        <v>24</v>
      </c>
      <c r="L381" s="15" t="str">
        <f>IF(OR(C381="Mumbai",H381&gt;=15),"Priority", "Normal")</f>
        <v>Normal</v>
      </c>
    </row>
    <row r="382" spans="1:12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6" t="s">
        <v>20</v>
      </c>
      <c r="L382" s="15" t="str">
        <f>IF(OR(C382="Mumbai",H382&gt;=15),"Priority", "Normal")</f>
        <v>Normal</v>
      </c>
    </row>
    <row r="383" spans="1:12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6" t="s">
        <v>15</v>
      </c>
      <c r="L383" s="15" t="str">
        <f>IF(OR(C383="Mumbai",H383&gt;=15),"Priority", "Normal")</f>
        <v>Normal</v>
      </c>
    </row>
    <row r="384" spans="1:12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6" t="s">
        <v>15</v>
      </c>
      <c r="L384" s="15" t="str">
        <f>IF(OR(C384="Mumbai",H384&gt;=15),"Priority", "Normal")</f>
        <v>Normal</v>
      </c>
    </row>
    <row r="385" spans="1:12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6" t="s">
        <v>29</v>
      </c>
      <c r="L385" s="15" t="str">
        <f>IF(OR(C385="Mumbai",H385&gt;=15),"Priority", "Normal")</f>
        <v>Normal</v>
      </c>
    </row>
    <row r="386" spans="1:12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6" t="s">
        <v>51</v>
      </c>
      <c r="L386" s="15" t="str">
        <f>IF(OR(C386="Mumbai",H386&gt;=15),"Priority", "Normal")</f>
        <v>Normal</v>
      </c>
    </row>
    <row r="387" spans="1:12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6" t="s">
        <v>51</v>
      </c>
      <c r="L387" s="15" t="str">
        <f>IF(OR(C387="Mumbai",H387&gt;=15),"Priority", "Normal")</f>
        <v>Normal</v>
      </c>
    </row>
    <row r="388" spans="1:12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6" t="s">
        <v>24</v>
      </c>
      <c r="L388" s="15" t="str">
        <f>IF(OR(C388="Mumbai",H388&gt;=15),"Priority", "Normal")</f>
        <v>Normal</v>
      </c>
    </row>
    <row r="389" spans="1:12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6" t="s">
        <v>20</v>
      </c>
      <c r="L389" s="15" t="str">
        <f>IF(OR(C389="Mumbai",H389&gt;=15),"Priority", "Normal")</f>
        <v>Normal</v>
      </c>
    </row>
    <row r="390" spans="1:12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6" t="s">
        <v>51</v>
      </c>
      <c r="L390" s="15" t="str">
        <f>IF(OR(C390="Mumbai",H390&gt;=15),"Priority", "Normal")</f>
        <v>Normal</v>
      </c>
    </row>
    <row r="391" spans="1:12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6" t="s">
        <v>51</v>
      </c>
      <c r="L391" s="15" t="str">
        <f>IF(OR(C391="Mumbai",H391&gt;=15),"Priority", "Normal")</f>
        <v>Normal</v>
      </c>
    </row>
    <row r="392" spans="1:12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6" t="s">
        <v>24</v>
      </c>
      <c r="L392" s="15" t="str">
        <f>IF(OR(C392="Mumbai",H392&gt;=15),"Priority", "Normal")</f>
        <v>Normal</v>
      </c>
    </row>
    <row r="393" spans="1:12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6" t="s">
        <v>29</v>
      </c>
      <c r="L393" s="15" t="str">
        <f>IF(OR(C393="Mumbai",H393&gt;=15),"Priority", "Normal")</f>
        <v>Normal</v>
      </c>
    </row>
    <row r="394" spans="1:12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6" t="s">
        <v>51</v>
      </c>
      <c r="L394" s="15" t="str">
        <f>IF(OR(C394="Mumbai",H394&gt;=15),"Priority", "Normal")</f>
        <v>Priority</v>
      </c>
    </row>
    <row r="395" spans="1:12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6" t="s">
        <v>15</v>
      </c>
      <c r="L395" s="15" t="str">
        <f>IF(OR(C395="Mumbai",H395&gt;=15),"Priority", "Normal")</f>
        <v>Normal</v>
      </c>
    </row>
    <row r="396" spans="1:12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6" t="s">
        <v>29</v>
      </c>
      <c r="L396" s="15" t="str">
        <f>IF(OR(C396="Mumbai",H396&gt;=15),"Priority", "Normal")</f>
        <v>Priority</v>
      </c>
    </row>
    <row r="397" spans="1:12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6" t="s">
        <v>15</v>
      </c>
      <c r="L397" s="15" t="str">
        <f>IF(OR(C397="Mumbai",H397&gt;=15),"Priority", "Normal")</f>
        <v>Priority</v>
      </c>
    </row>
    <row r="398" spans="1:12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6" t="s">
        <v>51</v>
      </c>
      <c r="L398" s="15" t="str">
        <f>IF(OR(C398="Mumbai",H398&gt;=15),"Priority", "Normal")</f>
        <v>Normal</v>
      </c>
    </row>
    <row r="399" spans="1:12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6" t="s">
        <v>15</v>
      </c>
      <c r="L399" s="15" t="str">
        <f>IF(OR(C399="Mumbai",H399&gt;=15),"Priority", "Normal")</f>
        <v>Normal</v>
      </c>
    </row>
    <row r="400" spans="1:12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6" t="s">
        <v>20</v>
      </c>
      <c r="L400" s="15" t="str">
        <f>IF(OR(C400="Mumbai",H400&gt;=15),"Priority", "Normal")</f>
        <v>Priority</v>
      </c>
    </row>
    <row r="401" spans="1:12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10" t="s">
        <v>20</v>
      </c>
      <c r="L401" s="15" t="str">
        <f>IF(OR(C401="Mumbai",H401&gt;=15),"Priority", "Normal")</f>
        <v>Priority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AD6D-1F98-444F-B9F6-19B43E1EB615}">
  <dimension ref="A1:M401"/>
  <sheetViews>
    <sheetView topLeftCell="B1" workbookViewId="0">
      <selection activeCell="L1" sqref="L1:L401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5.33203125" bestFit="1" customWidth="1"/>
    <col min="13" max="13" width="13.5546875" bestFit="1" customWidth="1"/>
  </cols>
  <sheetData>
    <row r="1" spans="1:13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3" t="s">
        <v>10</v>
      </c>
      <c r="L1" s="26" t="s">
        <v>70</v>
      </c>
      <c r="M1" s="27" t="s">
        <v>71</v>
      </c>
    </row>
    <row r="2" spans="1:13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28">
        <f>F2*G2*(1-H2/100)</f>
        <v>566.1</v>
      </c>
      <c r="M2" s="29" t="str">
        <f>IF(L2&gt;=100000,"Excellent",IF(AND(L2&gt;=50000,L2&lt;100000),"Very Good",IF(AND(L2&gt;=20000,L2&lt;50000),"Good","Average")))</f>
        <v>Average</v>
      </c>
    </row>
    <row r="3" spans="1:13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28">
        <f t="shared" ref="L3:L66" si="0">F3*G3*(1-H3/100)</f>
        <v>52039.68</v>
      </c>
      <c r="M3" s="29" t="str">
        <f t="shared" ref="M3:M66" si="1">IF(L3&gt;=100000,"Excellent",IF(AND(L3&gt;=50000,L3&lt;100000),"Very Good",IF(AND(L3&gt;=20000,L3&lt;50000),"Good","Average")))</f>
        <v>Very Good</v>
      </c>
    </row>
    <row r="4" spans="1:13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28">
        <f t="shared" si="0"/>
        <v>36091</v>
      </c>
      <c r="M4" s="29" t="str">
        <f t="shared" si="1"/>
        <v>Good</v>
      </c>
    </row>
    <row r="5" spans="1:13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28">
        <f t="shared" si="0"/>
        <v>165285.12</v>
      </c>
      <c r="M5" s="29" t="str">
        <f t="shared" si="1"/>
        <v>Excellent</v>
      </c>
    </row>
    <row r="6" spans="1:13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28">
        <f t="shared" si="0"/>
        <v>1260</v>
      </c>
      <c r="M6" s="29" t="str">
        <f t="shared" si="1"/>
        <v>Average</v>
      </c>
    </row>
    <row r="7" spans="1:13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28">
        <f t="shared" si="0"/>
        <v>7734.9</v>
      </c>
      <c r="M7" s="29" t="str">
        <f t="shared" si="1"/>
        <v>Average</v>
      </c>
    </row>
    <row r="8" spans="1:13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28">
        <f t="shared" si="0"/>
        <v>2632.83</v>
      </c>
      <c r="M8" s="29" t="str">
        <f t="shared" si="1"/>
        <v>Average</v>
      </c>
    </row>
    <row r="9" spans="1:13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28">
        <f t="shared" si="0"/>
        <v>1134</v>
      </c>
      <c r="M9" s="29" t="str">
        <f t="shared" si="1"/>
        <v>Average</v>
      </c>
    </row>
    <row r="10" spans="1:13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28">
        <f t="shared" si="0"/>
        <v>357904.8</v>
      </c>
      <c r="M10" s="29" t="str">
        <f t="shared" si="1"/>
        <v>Excellent</v>
      </c>
    </row>
    <row r="11" spans="1:13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28">
        <f t="shared" si="0"/>
        <v>6251</v>
      </c>
      <c r="M11" s="29" t="str">
        <f t="shared" si="1"/>
        <v>Average</v>
      </c>
    </row>
    <row r="12" spans="1:13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28">
        <f t="shared" si="0"/>
        <v>1084.1600000000001</v>
      </c>
      <c r="M12" s="29" t="str">
        <f t="shared" si="1"/>
        <v>Average</v>
      </c>
    </row>
    <row r="13" spans="1:13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28">
        <f t="shared" si="0"/>
        <v>174460.5</v>
      </c>
      <c r="M13" s="29" t="str">
        <f t="shared" si="1"/>
        <v>Excellent</v>
      </c>
    </row>
    <row r="14" spans="1:13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28">
        <f t="shared" si="0"/>
        <v>6866.64</v>
      </c>
      <c r="M14" s="29" t="str">
        <f t="shared" si="1"/>
        <v>Average</v>
      </c>
    </row>
    <row r="15" spans="1:13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28">
        <f t="shared" si="0"/>
        <v>897579.76</v>
      </c>
      <c r="M15" s="29" t="str">
        <f t="shared" si="1"/>
        <v>Excellent</v>
      </c>
    </row>
    <row r="16" spans="1:13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28">
        <f t="shared" si="0"/>
        <v>156428.57999999999</v>
      </c>
      <c r="M16" s="29" t="str">
        <f t="shared" si="1"/>
        <v>Excellent</v>
      </c>
    </row>
    <row r="17" spans="1:13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28">
        <f t="shared" si="0"/>
        <v>411182.39999999997</v>
      </c>
      <c r="M17" s="29" t="str">
        <f t="shared" si="1"/>
        <v>Excellent</v>
      </c>
    </row>
    <row r="18" spans="1:13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28">
        <f t="shared" si="0"/>
        <v>1217.2</v>
      </c>
      <c r="M18" s="29" t="str">
        <f t="shared" si="1"/>
        <v>Average</v>
      </c>
    </row>
    <row r="19" spans="1:13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28">
        <f t="shared" si="0"/>
        <v>6020</v>
      </c>
      <c r="M19" s="29" t="str">
        <f t="shared" si="1"/>
        <v>Average</v>
      </c>
    </row>
    <row r="20" spans="1:13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28">
        <f t="shared" si="0"/>
        <v>739562.4</v>
      </c>
      <c r="M20" s="29" t="str">
        <f t="shared" si="1"/>
        <v>Excellent</v>
      </c>
    </row>
    <row r="21" spans="1:13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28">
        <f t="shared" si="0"/>
        <v>21764.5</v>
      </c>
      <c r="M21" s="29" t="str">
        <f t="shared" si="1"/>
        <v>Good</v>
      </c>
    </row>
    <row r="22" spans="1:13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28">
        <f t="shared" si="0"/>
        <v>1422.96</v>
      </c>
      <c r="M22" s="29" t="str">
        <f t="shared" si="1"/>
        <v>Average</v>
      </c>
    </row>
    <row r="23" spans="1:13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28">
        <f t="shared" si="0"/>
        <v>173940</v>
      </c>
      <c r="M23" s="29" t="str">
        <f t="shared" si="1"/>
        <v>Excellent</v>
      </c>
    </row>
    <row r="24" spans="1:13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28">
        <f t="shared" si="0"/>
        <v>51538.2</v>
      </c>
      <c r="M24" s="29" t="str">
        <f t="shared" si="1"/>
        <v>Very Good</v>
      </c>
    </row>
    <row r="25" spans="1:13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28">
        <f t="shared" si="0"/>
        <v>19174.8</v>
      </c>
      <c r="M25" s="29" t="str">
        <f t="shared" si="1"/>
        <v>Average</v>
      </c>
    </row>
    <row r="26" spans="1:13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28">
        <f t="shared" si="0"/>
        <v>142632</v>
      </c>
      <c r="M26" s="29" t="str">
        <f t="shared" si="1"/>
        <v>Excellent</v>
      </c>
    </row>
    <row r="27" spans="1:13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28">
        <f t="shared" si="0"/>
        <v>4941.9000000000005</v>
      </c>
      <c r="M27" s="29" t="str">
        <f t="shared" si="1"/>
        <v>Average</v>
      </c>
    </row>
    <row r="28" spans="1:13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28">
        <f t="shared" si="0"/>
        <v>1056</v>
      </c>
      <c r="M28" s="29" t="str">
        <f t="shared" si="1"/>
        <v>Average</v>
      </c>
    </row>
    <row r="29" spans="1:13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28">
        <f t="shared" si="0"/>
        <v>5516.42</v>
      </c>
      <c r="M29" s="29" t="str">
        <f t="shared" si="1"/>
        <v>Average</v>
      </c>
    </row>
    <row r="30" spans="1:13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28">
        <f t="shared" si="0"/>
        <v>7575.2999999999993</v>
      </c>
      <c r="M30" s="29" t="str">
        <f t="shared" si="1"/>
        <v>Average</v>
      </c>
    </row>
    <row r="31" spans="1:13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28">
        <f t="shared" si="0"/>
        <v>3931.2000000000003</v>
      </c>
      <c r="M31" s="29" t="str">
        <f t="shared" si="1"/>
        <v>Average</v>
      </c>
    </row>
    <row r="32" spans="1:13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28">
        <f t="shared" si="0"/>
        <v>349.59999999999997</v>
      </c>
      <c r="M32" s="29" t="str">
        <f t="shared" si="1"/>
        <v>Average</v>
      </c>
    </row>
    <row r="33" spans="1:13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28">
        <f t="shared" si="0"/>
        <v>221578</v>
      </c>
      <c r="M33" s="29" t="str">
        <f t="shared" si="1"/>
        <v>Excellent</v>
      </c>
    </row>
    <row r="34" spans="1:13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28">
        <f t="shared" si="0"/>
        <v>43173.9</v>
      </c>
      <c r="M34" s="29" t="str">
        <f t="shared" si="1"/>
        <v>Good</v>
      </c>
    </row>
    <row r="35" spans="1:13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28">
        <f t="shared" si="0"/>
        <v>76355.839999999997</v>
      </c>
      <c r="M35" s="29" t="str">
        <f t="shared" si="1"/>
        <v>Very Good</v>
      </c>
    </row>
    <row r="36" spans="1:13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28">
        <f t="shared" si="0"/>
        <v>27447</v>
      </c>
      <c r="M36" s="29" t="str">
        <f t="shared" si="1"/>
        <v>Good</v>
      </c>
    </row>
    <row r="37" spans="1:13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28">
        <f t="shared" si="0"/>
        <v>2994.6</v>
      </c>
      <c r="M37" s="29" t="str">
        <f t="shared" si="1"/>
        <v>Average</v>
      </c>
    </row>
    <row r="38" spans="1:13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28">
        <f t="shared" si="0"/>
        <v>75952.800000000003</v>
      </c>
      <c r="M38" s="29" t="str">
        <f t="shared" si="1"/>
        <v>Very Good</v>
      </c>
    </row>
    <row r="39" spans="1:13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28">
        <f t="shared" si="0"/>
        <v>3525.6299999999997</v>
      </c>
      <c r="M39" s="29" t="str">
        <f t="shared" si="1"/>
        <v>Average</v>
      </c>
    </row>
    <row r="40" spans="1:13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28">
        <f t="shared" si="0"/>
        <v>271062</v>
      </c>
      <c r="M40" s="29" t="str">
        <f t="shared" si="1"/>
        <v>Excellent</v>
      </c>
    </row>
    <row r="41" spans="1:13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28">
        <f t="shared" si="0"/>
        <v>73803.8</v>
      </c>
      <c r="M41" s="29" t="str">
        <f t="shared" si="1"/>
        <v>Very Good</v>
      </c>
    </row>
    <row r="42" spans="1:13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28">
        <f t="shared" si="0"/>
        <v>594.27</v>
      </c>
      <c r="M42" s="29" t="str">
        <f t="shared" si="1"/>
        <v>Average</v>
      </c>
    </row>
    <row r="43" spans="1:13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28">
        <f t="shared" si="0"/>
        <v>3712</v>
      </c>
      <c r="M43" s="29" t="str">
        <f t="shared" si="1"/>
        <v>Average</v>
      </c>
    </row>
    <row r="44" spans="1:13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28">
        <f t="shared" si="0"/>
        <v>875767</v>
      </c>
      <c r="M44" s="29" t="str">
        <f t="shared" si="1"/>
        <v>Excellent</v>
      </c>
    </row>
    <row r="45" spans="1:13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28">
        <f t="shared" si="0"/>
        <v>57745.52</v>
      </c>
      <c r="M45" s="29" t="str">
        <f t="shared" si="1"/>
        <v>Very Good</v>
      </c>
    </row>
    <row r="46" spans="1:13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28">
        <f t="shared" si="0"/>
        <v>175105.97999999998</v>
      </c>
      <c r="M46" s="29" t="str">
        <f t="shared" si="1"/>
        <v>Excellent</v>
      </c>
    </row>
    <row r="47" spans="1:13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28">
        <f t="shared" si="0"/>
        <v>52496.1</v>
      </c>
      <c r="M47" s="29" t="str">
        <f t="shared" si="1"/>
        <v>Very Good</v>
      </c>
    </row>
    <row r="48" spans="1:13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28">
        <f t="shared" si="0"/>
        <v>96567.680000000008</v>
      </c>
      <c r="M48" s="29" t="str">
        <f t="shared" si="1"/>
        <v>Very Good</v>
      </c>
    </row>
    <row r="49" spans="1:13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28">
        <f t="shared" si="0"/>
        <v>153141.24</v>
      </c>
      <c r="M49" s="29" t="str">
        <f t="shared" si="1"/>
        <v>Excellent</v>
      </c>
    </row>
    <row r="50" spans="1:13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28">
        <f t="shared" si="0"/>
        <v>81578</v>
      </c>
      <c r="M50" s="29" t="str">
        <f t="shared" si="1"/>
        <v>Very Good</v>
      </c>
    </row>
    <row r="51" spans="1:13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28">
        <f t="shared" si="0"/>
        <v>4104</v>
      </c>
      <c r="M51" s="29" t="str">
        <f t="shared" si="1"/>
        <v>Average</v>
      </c>
    </row>
    <row r="52" spans="1:13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28">
        <f t="shared" si="0"/>
        <v>552.72</v>
      </c>
      <c r="M52" s="29" t="str">
        <f t="shared" si="1"/>
        <v>Average</v>
      </c>
    </row>
    <row r="53" spans="1:13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28">
        <f t="shared" si="0"/>
        <v>2631.6</v>
      </c>
      <c r="M53" s="29" t="str">
        <f t="shared" si="1"/>
        <v>Average</v>
      </c>
    </row>
    <row r="54" spans="1:13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28">
        <f t="shared" si="0"/>
        <v>8286.65</v>
      </c>
      <c r="M54" s="29" t="str">
        <f t="shared" si="1"/>
        <v>Average</v>
      </c>
    </row>
    <row r="55" spans="1:13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28">
        <f t="shared" si="0"/>
        <v>68977.919999999998</v>
      </c>
      <c r="M55" s="29" t="str">
        <f t="shared" si="1"/>
        <v>Very Good</v>
      </c>
    </row>
    <row r="56" spans="1:13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28">
        <f t="shared" si="0"/>
        <v>2830.5</v>
      </c>
      <c r="M56" s="29" t="str">
        <f t="shared" si="1"/>
        <v>Average</v>
      </c>
    </row>
    <row r="57" spans="1:13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28">
        <f t="shared" si="0"/>
        <v>27847.35</v>
      </c>
      <c r="M57" s="29" t="str">
        <f t="shared" si="1"/>
        <v>Good</v>
      </c>
    </row>
    <row r="58" spans="1:13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28">
        <f t="shared" si="0"/>
        <v>16202.699999999999</v>
      </c>
      <c r="M58" s="29" t="str">
        <f t="shared" si="1"/>
        <v>Average</v>
      </c>
    </row>
    <row r="59" spans="1:13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28">
        <f t="shared" si="0"/>
        <v>51447.6</v>
      </c>
      <c r="M59" s="29" t="str">
        <f t="shared" si="1"/>
        <v>Very Good</v>
      </c>
    </row>
    <row r="60" spans="1:13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28">
        <f t="shared" si="0"/>
        <v>2016</v>
      </c>
      <c r="M60" s="29" t="str">
        <f t="shared" si="1"/>
        <v>Average</v>
      </c>
    </row>
    <row r="61" spans="1:13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28">
        <f t="shared" si="0"/>
        <v>85792.14</v>
      </c>
      <c r="M61" s="29" t="str">
        <f t="shared" si="1"/>
        <v>Very Good</v>
      </c>
    </row>
    <row r="62" spans="1:13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28">
        <f t="shared" si="0"/>
        <v>945344</v>
      </c>
      <c r="M62" s="29" t="str">
        <f t="shared" si="1"/>
        <v>Excellent</v>
      </c>
    </row>
    <row r="63" spans="1:13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28">
        <f t="shared" si="0"/>
        <v>65542.399999999994</v>
      </c>
      <c r="M63" s="29" t="str">
        <f t="shared" si="1"/>
        <v>Very Good</v>
      </c>
    </row>
    <row r="64" spans="1:13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28">
        <f t="shared" si="0"/>
        <v>434503.43999999994</v>
      </c>
      <c r="M64" s="29" t="str">
        <f t="shared" si="1"/>
        <v>Excellent</v>
      </c>
    </row>
    <row r="65" spans="1:13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28">
        <f t="shared" si="0"/>
        <v>3552.6</v>
      </c>
      <c r="M65" s="29" t="str">
        <f t="shared" si="1"/>
        <v>Average</v>
      </c>
    </row>
    <row r="66" spans="1:13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28">
        <f t="shared" si="0"/>
        <v>7343.5</v>
      </c>
      <c r="M66" s="29" t="str">
        <f t="shared" si="1"/>
        <v>Average</v>
      </c>
    </row>
    <row r="67" spans="1:13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28">
        <f t="shared" ref="L67:L130" si="2">F67*G67*(1-H67/100)</f>
        <v>170814.75</v>
      </c>
      <c r="M67" s="29" t="str">
        <f t="shared" ref="M67:M130" si="3">IF(L67&gt;=100000,"Excellent",IF(AND(L67&gt;=50000,L67&lt;100000),"Very Good",IF(AND(L67&gt;=20000,L67&lt;50000),"Good","Average")))</f>
        <v>Excellent</v>
      </c>
    </row>
    <row r="68" spans="1:13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28">
        <f t="shared" si="2"/>
        <v>152166</v>
      </c>
      <c r="M68" s="29" t="str">
        <f t="shared" si="3"/>
        <v>Excellent</v>
      </c>
    </row>
    <row r="69" spans="1:13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28">
        <f t="shared" si="2"/>
        <v>207109.5</v>
      </c>
      <c r="M69" s="29" t="str">
        <f t="shared" si="3"/>
        <v>Excellent</v>
      </c>
    </row>
    <row r="70" spans="1:13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28">
        <f t="shared" si="2"/>
        <v>37748.25</v>
      </c>
      <c r="M70" s="29" t="str">
        <f t="shared" si="3"/>
        <v>Good</v>
      </c>
    </row>
    <row r="71" spans="1:13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28">
        <f t="shared" si="2"/>
        <v>2166.8999999999996</v>
      </c>
      <c r="M71" s="29" t="str">
        <f t="shared" si="3"/>
        <v>Average</v>
      </c>
    </row>
    <row r="72" spans="1:13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28">
        <f t="shared" si="2"/>
        <v>550568.69999999995</v>
      </c>
      <c r="M72" s="29" t="str">
        <f t="shared" si="3"/>
        <v>Excellent</v>
      </c>
    </row>
    <row r="73" spans="1:13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28">
        <f t="shared" si="2"/>
        <v>1175580</v>
      </c>
      <c r="M73" s="29" t="str">
        <f t="shared" si="3"/>
        <v>Excellent</v>
      </c>
    </row>
    <row r="74" spans="1:13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28">
        <f t="shared" si="2"/>
        <v>9125.16</v>
      </c>
      <c r="M74" s="29" t="str">
        <f t="shared" si="3"/>
        <v>Average</v>
      </c>
    </row>
    <row r="75" spans="1:13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28">
        <f t="shared" si="2"/>
        <v>3646.5</v>
      </c>
      <c r="M75" s="29" t="str">
        <f t="shared" si="3"/>
        <v>Average</v>
      </c>
    </row>
    <row r="76" spans="1:13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28">
        <f t="shared" si="2"/>
        <v>233182.80000000002</v>
      </c>
      <c r="M76" s="29" t="str">
        <f t="shared" si="3"/>
        <v>Excellent</v>
      </c>
    </row>
    <row r="77" spans="1:13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28">
        <f t="shared" si="2"/>
        <v>482187.69999999995</v>
      </c>
      <c r="M77" s="29" t="str">
        <f t="shared" si="3"/>
        <v>Excellent</v>
      </c>
    </row>
    <row r="78" spans="1:13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28">
        <f t="shared" si="2"/>
        <v>110.7</v>
      </c>
      <c r="M78" s="29" t="str">
        <f t="shared" si="3"/>
        <v>Average</v>
      </c>
    </row>
    <row r="79" spans="1:13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28">
        <f t="shared" si="2"/>
        <v>235011.04</v>
      </c>
      <c r="M79" s="29" t="str">
        <f t="shared" si="3"/>
        <v>Excellent</v>
      </c>
    </row>
    <row r="80" spans="1:13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28">
        <f t="shared" si="2"/>
        <v>818544.32</v>
      </c>
      <c r="M80" s="29" t="str">
        <f t="shared" si="3"/>
        <v>Excellent</v>
      </c>
    </row>
    <row r="81" spans="1:13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28">
        <f t="shared" si="2"/>
        <v>552442.19999999995</v>
      </c>
      <c r="M81" s="29" t="str">
        <f t="shared" si="3"/>
        <v>Excellent</v>
      </c>
    </row>
    <row r="82" spans="1:13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28">
        <f t="shared" si="2"/>
        <v>835772.39999999991</v>
      </c>
      <c r="M82" s="29" t="str">
        <f t="shared" si="3"/>
        <v>Excellent</v>
      </c>
    </row>
    <row r="83" spans="1:13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28">
        <f t="shared" si="2"/>
        <v>837.9</v>
      </c>
      <c r="M83" s="29" t="str">
        <f t="shared" si="3"/>
        <v>Average</v>
      </c>
    </row>
    <row r="84" spans="1:13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28">
        <f t="shared" si="2"/>
        <v>1476.84</v>
      </c>
      <c r="M84" s="29" t="str">
        <f t="shared" si="3"/>
        <v>Average</v>
      </c>
    </row>
    <row r="85" spans="1:13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28">
        <f t="shared" si="2"/>
        <v>24843.600000000002</v>
      </c>
      <c r="M85" s="29" t="str">
        <f t="shared" si="3"/>
        <v>Good</v>
      </c>
    </row>
    <row r="86" spans="1:13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28">
        <f t="shared" si="2"/>
        <v>757533.04</v>
      </c>
      <c r="M86" s="29" t="str">
        <f t="shared" si="3"/>
        <v>Excellent</v>
      </c>
    </row>
    <row r="87" spans="1:13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28">
        <f t="shared" si="2"/>
        <v>540</v>
      </c>
      <c r="M87" s="29" t="str">
        <f t="shared" si="3"/>
        <v>Average</v>
      </c>
    </row>
    <row r="88" spans="1:13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28">
        <f t="shared" si="2"/>
        <v>4678.83</v>
      </c>
      <c r="M88" s="29" t="str">
        <f t="shared" si="3"/>
        <v>Average</v>
      </c>
    </row>
    <row r="89" spans="1:13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28">
        <f t="shared" si="2"/>
        <v>823300</v>
      </c>
      <c r="M89" s="29" t="str">
        <f t="shared" si="3"/>
        <v>Excellent</v>
      </c>
    </row>
    <row r="90" spans="1:13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28">
        <f t="shared" si="2"/>
        <v>167001.79999999999</v>
      </c>
      <c r="M90" s="29" t="str">
        <f t="shared" si="3"/>
        <v>Excellent</v>
      </c>
    </row>
    <row r="91" spans="1:13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28">
        <f t="shared" si="2"/>
        <v>1193808.95</v>
      </c>
      <c r="M91" s="29" t="str">
        <f t="shared" si="3"/>
        <v>Excellent</v>
      </c>
    </row>
    <row r="92" spans="1:13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28">
        <f t="shared" si="2"/>
        <v>610</v>
      </c>
      <c r="M92" s="29" t="str">
        <f t="shared" si="3"/>
        <v>Average</v>
      </c>
    </row>
    <row r="93" spans="1:13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28">
        <f t="shared" si="2"/>
        <v>206723.16</v>
      </c>
      <c r="M93" s="29" t="str">
        <f t="shared" si="3"/>
        <v>Excellent</v>
      </c>
    </row>
    <row r="94" spans="1:13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28">
        <f t="shared" si="2"/>
        <v>41942.400000000001</v>
      </c>
      <c r="M94" s="29" t="str">
        <f t="shared" si="3"/>
        <v>Good</v>
      </c>
    </row>
    <row r="95" spans="1:13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28">
        <f t="shared" si="2"/>
        <v>28292</v>
      </c>
      <c r="M95" s="29" t="str">
        <f t="shared" si="3"/>
        <v>Good</v>
      </c>
    </row>
    <row r="96" spans="1:13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28">
        <f t="shared" si="2"/>
        <v>10354.68</v>
      </c>
      <c r="M96" s="29" t="str">
        <f t="shared" si="3"/>
        <v>Average</v>
      </c>
    </row>
    <row r="97" spans="1:13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28">
        <f t="shared" si="2"/>
        <v>187731</v>
      </c>
      <c r="M97" s="29" t="str">
        <f t="shared" si="3"/>
        <v>Excellent</v>
      </c>
    </row>
    <row r="98" spans="1:13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28">
        <f t="shared" si="2"/>
        <v>260820</v>
      </c>
      <c r="M98" s="29" t="str">
        <f t="shared" si="3"/>
        <v>Excellent</v>
      </c>
    </row>
    <row r="99" spans="1:13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28">
        <f t="shared" si="2"/>
        <v>5747.7</v>
      </c>
      <c r="M99" s="29" t="str">
        <f t="shared" si="3"/>
        <v>Average</v>
      </c>
    </row>
    <row r="100" spans="1:13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28">
        <f t="shared" si="2"/>
        <v>5061.7</v>
      </c>
      <c r="M100" s="29" t="str">
        <f t="shared" si="3"/>
        <v>Average</v>
      </c>
    </row>
    <row r="101" spans="1:13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28">
        <f t="shared" si="2"/>
        <v>2930.4</v>
      </c>
      <c r="M101" s="29" t="str">
        <f t="shared" si="3"/>
        <v>Average</v>
      </c>
    </row>
    <row r="102" spans="1:13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28">
        <f t="shared" si="2"/>
        <v>302624.10000000003</v>
      </c>
      <c r="M102" s="29" t="str">
        <f t="shared" si="3"/>
        <v>Excellent</v>
      </c>
    </row>
    <row r="103" spans="1:13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28">
        <f t="shared" si="2"/>
        <v>707566.32</v>
      </c>
      <c r="M103" s="29" t="str">
        <f t="shared" si="3"/>
        <v>Excellent</v>
      </c>
    </row>
    <row r="104" spans="1:13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28">
        <f t="shared" si="2"/>
        <v>79301.25</v>
      </c>
      <c r="M104" s="29" t="str">
        <f t="shared" si="3"/>
        <v>Very Good</v>
      </c>
    </row>
    <row r="105" spans="1:13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28">
        <f t="shared" si="2"/>
        <v>109208</v>
      </c>
      <c r="M105" s="29" t="str">
        <f t="shared" si="3"/>
        <v>Excellent</v>
      </c>
    </row>
    <row r="106" spans="1:13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28">
        <f t="shared" si="2"/>
        <v>867.68</v>
      </c>
      <c r="M106" s="29" t="str">
        <f t="shared" si="3"/>
        <v>Average</v>
      </c>
    </row>
    <row r="107" spans="1:13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28">
        <f t="shared" si="2"/>
        <v>41963.6</v>
      </c>
      <c r="M107" s="29" t="str">
        <f t="shared" si="3"/>
        <v>Good</v>
      </c>
    </row>
    <row r="108" spans="1:13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28">
        <f t="shared" si="2"/>
        <v>56020.72</v>
      </c>
      <c r="M108" s="29" t="str">
        <f t="shared" si="3"/>
        <v>Very Good</v>
      </c>
    </row>
    <row r="109" spans="1:13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28">
        <f t="shared" si="2"/>
        <v>193109.84999999998</v>
      </c>
      <c r="M109" s="29" t="str">
        <f t="shared" si="3"/>
        <v>Excellent</v>
      </c>
    </row>
    <row r="110" spans="1:13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28">
        <f t="shared" si="2"/>
        <v>111355.2</v>
      </c>
      <c r="M110" s="29" t="str">
        <f t="shared" si="3"/>
        <v>Excellent</v>
      </c>
    </row>
    <row r="111" spans="1:13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28">
        <f t="shared" si="2"/>
        <v>88444.86</v>
      </c>
      <c r="M111" s="29" t="str">
        <f t="shared" si="3"/>
        <v>Very Good</v>
      </c>
    </row>
    <row r="112" spans="1:13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28">
        <f t="shared" si="2"/>
        <v>219758</v>
      </c>
      <c r="M112" s="29" t="str">
        <f t="shared" si="3"/>
        <v>Excellent</v>
      </c>
    </row>
    <row r="113" spans="1:13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28">
        <f t="shared" si="2"/>
        <v>11656.05</v>
      </c>
      <c r="M113" s="29" t="str">
        <f t="shared" si="3"/>
        <v>Average</v>
      </c>
    </row>
    <row r="114" spans="1:13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28">
        <f t="shared" si="2"/>
        <v>74244.95</v>
      </c>
      <c r="M114" s="29" t="str">
        <f t="shared" si="3"/>
        <v>Very Good</v>
      </c>
    </row>
    <row r="115" spans="1:13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28">
        <f t="shared" si="2"/>
        <v>353.59999999999997</v>
      </c>
      <c r="M115" s="29" t="str">
        <f t="shared" si="3"/>
        <v>Average</v>
      </c>
    </row>
    <row r="116" spans="1:13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28">
        <f t="shared" si="2"/>
        <v>2454.3000000000002</v>
      </c>
      <c r="M116" s="29" t="str">
        <f t="shared" si="3"/>
        <v>Average</v>
      </c>
    </row>
    <row r="117" spans="1:13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28">
        <f t="shared" si="2"/>
        <v>21576.399999999998</v>
      </c>
      <c r="M117" s="29" t="str">
        <f t="shared" si="3"/>
        <v>Good</v>
      </c>
    </row>
    <row r="118" spans="1:13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28">
        <f t="shared" si="2"/>
        <v>493450.55999999994</v>
      </c>
      <c r="M118" s="29" t="str">
        <f t="shared" si="3"/>
        <v>Excellent</v>
      </c>
    </row>
    <row r="119" spans="1:13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28">
        <f t="shared" si="2"/>
        <v>155917.79999999999</v>
      </c>
      <c r="M119" s="29" t="str">
        <f t="shared" si="3"/>
        <v>Excellent</v>
      </c>
    </row>
    <row r="120" spans="1:13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28">
        <f t="shared" si="2"/>
        <v>7041.4</v>
      </c>
      <c r="M120" s="29" t="str">
        <f t="shared" si="3"/>
        <v>Average</v>
      </c>
    </row>
    <row r="121" spans="1:13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28">
        <f t="shared" si="2"/>
        <v>3942</v>
      </c>
      <c r="M121" s="29" t="str">
        <f t="shared" si="3"/>
        <v>Average</v>
      </c>
    </row>
    <row r="122" spans="1:13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28">
        <f t="shared" si="2"/>
        <v>218771.28</v>
      </c>
      <c r="M122" s="29" t="str">
        <f t="shared" si="3"/>
        <v>Excellent</v>
      </c>
    </row>
    <row r="123" spans="1:13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28">
        <f t="shared" si="2"/>
        <v>629874</v>
      </c>
      <c r="M123" s="29" t="str">
        <f t="shared" si="3"/>
        <v>Excellent</v>
      </c>
    </row>
    <row r="124" spans="1:13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28">
        <f t="shared" si="2"/>
        <v>19820.16</v>
      </c>
      <c r="M124" s="29" t="str">
        <f t="shared" si="3"/>
        <v>Average</v>
      </c>
    </row>
    <row r="125" spans="1:13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28">
        <f t="shared" si="2"/>
        <v>48263</v>
      </c>
      <c r="M125" s="29" t="str">
        <f t="shared" si="3"/>
        <v>Good</v>
      </c>
    </row>
    <row r="126" spans="1:13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28">
        <f t="shared" si="2"/>
        <v>176.4</v>
      </c>
      <c r="M126" s="29" t="str">
        <f t="shared" si="3"/>
        <v>Average</v>
      </c>
    </row>
    <row r="127" spans="1:13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28">
        <f t="shared" si="2"/>
        <v>290074.40000000002</v>
      </c>
      <c r="M127" s="29" t="str">
        <f t="shared" si="3"/>
        <v>Excellent</v>
      </c>
    </row>
    <row r="128" spans="1:13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28">
        <f t="shared" si="2"/>
        <v>154360.79999999999</v>
      </c>
      <c r="M128" s="29" t="str">
        <f t="shared" si="3"/>
        <v>Excellent</v>
      </c>
    </row>
    <row r="129" spans="1:13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28">
        <f t="shared" si="2"/>
        <v>27905.579999999998</v>
      </c>
      <c r="M129" s="29" t="str">
        <f t="shared" si="3"/>
        <v>Good</v>
      </c>
    </row>
    <row r="130" spans="1:13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28">
        <f t="shared" si="2"/>
        <v>1046.25</v>
      </c>
      <c r="M130" s="29" t="str">
        <f t="shared" si="3"/>
        <v>Average</v>
      </c>
    </row>
    <row r="131" spans="1:13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28">
        <f t="shared" ref="L131:L194" si="4">F131*G131*(1-H131/100)</f>
        <v>588</v>
      </c>
      <c r="M131" s="29" t="str">
        <f t="shared" ref="M131:M194" si="5">IF(L131&gt;=100000,"Excellent",IF(AND(L131&gt;=50000,L131&lt;100000),"Very Good",IF(AND(L131&gt;=20000,L131&lt;50000),"Good","Average")))</f>
        <v>Average</v>
      </c>
    </row>
    <row r="132" spans="1:13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28">
        <f t="shared" si="4"/>
        <v>37273.469999999994</v>
      </c>
      <c r="M132" s="29" t="str">
        <f t="shared" si="5"/>
        <v>Good</v>
      </c>
    </row>
    <row r="133" spans="1:13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28">
        <f t="shared" si="4"/>
        <v>2511</v>
      </c>
      <c r="M133" s="29" t="str">
        <f t="shared" si="5"/>
        <v>Average</v>
      </c>
    </row>
    <row r="134" spans="1:13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28">
        <f t="shared" si="4"/>
        <v>53137.56</v>
      </c>
      <c r="M134" s="29" t="str">
        <f t="shared" si="5"/>
        <v>Very Good</v>
      </c>
    </row>
    <row r="135" spans="1:13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28">
        <f t="shared" si="4"/>
        <v>248344.5</v>
      </c>
      <c r="M135" s="29" t="str">
        <f t="shared" si="5"/>
        <v>Excellent</v>
      </c>
    </row>
    <row r="136" spans="1:13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28">
        <f t="shared" si="4"/>
        <v>959476</v>
      </c>
      <c r="M136" s="29" t="str">
        <f t="shared" si="5"/>
        <v>Excellent</v>
      </c>
    </row>
    <row r="137" spans="1:13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28">
        <f t="shared" si="4"/>
        <v>242908.16</v>
      </c>
      <c r="M137" s="29" t="str">
        <f t="shared" si="5"/>
        <v>Excellent</v>
      </c>
    </row>
    <row r="138" spans="1:13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28">
        <f t="shared" si="4"/>
        <v>3888</v>
      </c>
      <c r="M138" s="29" t="str">
        <f t="shared" si="5"/>
        <v>Average</v>
      </c>
    </row>
    <row r="139" spans="1:13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28">
        <f t="shared" si="4"/>
        <v>70883.399999999994</v>
      </c>
      <c r="M139" s="29" t="str">
        <f t="shared" si="5"/>
        <v>Very Good</v>
      </c>
    </row>
    <row r="140" spans="1:13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28">
        <f t="shared" si="4"/>
        <v>441236.7</v>
      </c>
      <c r="M140" s="29" t="str">
        <f t="shared" si="5"/>
        <v>Excellent</v>
      </c>
    </row>
    <row r="141" spans="1:13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28">
        <f t="shared" si="4"/>
        <v>323057</v>
      </c>
      <c r="M141" s="29" t="str">
        <f t="shared" si="5"/>
        <v>Excellent</v>
      </c>
    </row>
    <row r="142" spans="1:13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28">
        <f t="shared" si="4"/>
        <v>133966</v>
      </c>
      <c r="M142" s="29" t="str">
        <f t="shared" si="5"/>
        <v>Excellent</v>
      </c>
    </row>
    <row r="143" spans="1:13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28">
        <f t="shared" si="4"/>
        <v>500425.55999999994</v>
      </c>
      <c r="M143" s="29" t="str">
        <f t="shared" si="5"/>
        <v>Excellent</v>
      </c>
    </row>
    <row r="144" spans="1:13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28">
        <f t="shared" si="4"/>
        <v>5809.44</v>
      </c>
      <c r="M144" s="29" t="str">
        <f t="shared" si="5"/>
        <v>Average</v>
      </c>
    </row>
    <row r="145" spans="1:13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28">
        <f t="shared" si="4"/>
        <v>3258.72</v>
      </c>
      <c r="M145" s="29" t="str">
        <f t="shared" si="5"/>
        <v>Average</v>
      </c>
    </row>
    <row r="146" spans="1:13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28">
        <f t="shared" si="4"/>
        <v>60595.040000000001</v>
      </c>
      <c r="M146" s="29" t="str">
        <f t="shared" si="5"/>
        <v>Very Good</v>
      </c>
    </row>
    <row r="147" spans="1:13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28">
        <f t="shared" si="4"/>
        <v>477519</v>
      </c>
      <c r="M147" s="29" t="str">
        <f t="shared" si="5"/>
        <v>Excellent</v>
      </c>
    </row>
    <row r="148" spans="1:13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28">
        <f t="shared" si="4"/>
        <v>63713.649999999994</v>
      </c>
      <c r="M148" s="29" t="str">
        <f t="shared" si="5"/>
        <v>Very Good</v>
      </c>
    </row>
    <row r="149" spans="1:13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28">
        <f t="shared" si="4"/>
        <v>30925.289999999997</v>
      </c>
      <c r="M149" s="29" t="str">
        <f t="shared" si="5"/>
        <v>Good</v>
      </c>
    </row>
    <row r="150" spans="1:13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28">
        <f t="shared" si="4"/>
        <v>212532.9</v>
      </c>
      <c r="M150" s="29" t="str">
        <f t="shared" si="5"/>
        <v>Excellent</v>
      </c>
    </row>
    <row r="151" spans="1:13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28">
        <f t="shared" si="4"/>
        <v>49503.899999999994</v>
      </c>
      <c r="M151" s="29" t="str">
        <f t="shared" si="5"/>
        <v>Good</v>
      </c>
    </row>
    <row r="152" spans="1:13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28">
        <f t="shared" si="4"/>
        <v>4624</v>
      </c>
      <c r="M152" s="29" t="str">
        <f t="shared" si="5"/>
        <v>Average</v>
      </c>
    </row>
    <row r="153" spans="1:13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28">
        <f t="shared" si="4"/>
        <v>102690</v>
      </c>
      <c r="M153" s="29" t="str">
        <f t="shared" si="5"/>
        <v>Excellent</v>
      </c>
    </row>
    <row r="154" spans="1:13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28">
        <f t="shared" si="4"/>
        <v>171764.56</v>
      </c>
      <c r="M154" s="29" t="str">
        <f t="shared" si="5"/>
        <v>Excellent</v>
      </c>
    </row>
    <row r="155" spans="1:13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28">
        <f t="shared" si="4"/>
        <v>91515</v>
      </c>
      <c r="M155" s="29" t="str">
        <f t="shared" si="5"/>
        <v>Very Good</v>
      </c>
    </row>
    <row r="156" spans="1:13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28">
        <f t="shared" si="4"/>
        <v>47968.049999999996</v>
      </c>
      <c r="M156" s="29" t="str">
        <f t="shared" si="5"/>
        <v>Good</v>
      </c>
    </row>
    <row r="157" spans="1:13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28">
        <f t="shared" si="4"/>
        <v>1980.5</v>
      </c>
      <c r="M157" s="29" t="str">
        <f t="shared" si="5"/>
        <v>Average</v>
      </c>
    </row>
    <row r="158" spans="1:13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28">
        <f t="shared" si="4"/>
        <v>517.65</v>
      </c>
      <c r="M158" s="29" t="str">
        <f t="shared" si="5"/>
        <v>Average</v>
      </c>
    </row>
    <row r="159" spans="1:13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28">
        <f t="shared" si="4"/>
        <v>159479.32</v>
      </c>
      <c r="M159" s="29" t="str">
        <f t="shared" si="5"/>
        <v>Excellent</v>
      </c>
    </row>
    <row r="160" spans="1:13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28">
        <f t="shared" si="4"/>
        <v>238000</v>
      </c>
      <c r="M160" s="29" t="str">
        <f t="shared" si="5"/>
        <v>Excellent</v>
      </c>
    </row>
    <row r="161" spans="1:13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28">
        <f t="shared" si="4"/>
        <v>340111.8</v>
      </c>
      <c r="M161" s="29" t="str">
        <f t="shared" si="5"/>
        <v>Excellent</v>
      </c>
    </row>
    <row r="162" spans="1:13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28">
        <f t="shared" si="4"/>
        <v>203331.47999999998</v>
      </c>
      <c r="M162" s="29" t="str">
        <f t="shared" si="5"/>
        <v>Excellent</v>
      </c>
    </row>
    <row r="163" spans="1:13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28">
        <f t="shared" si="4"/>
        <v>50716.800000000003</v>
      </c>
      <c r="M163" s="29" t="str">
        <f t="shared" si="5"/>
        <v>Very Good</v>
      </c>
    </row>
    <row r="164" spans="1:13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28">
        <f t="shared" si="4"/>
        <v>550720.80000000005</v>
      </c>
      <c r="M164" s="29" t="str">
        <f t="shared" si="5"/>
        <v>Excellent</v>
      </c>
    </row>
    <row r="165" spans="1:13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28">
        <f t="shared" si="4"/>
        <v>151628.4</v>
      </c>
      <c r="M165" s="29" t="str">
        <f t="shared" si="5"/>
        <v>Excellent</v>
      </c>
    </row>
    <row r="166" spans="1:13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28">
        <f t="shared" si="4"/>
        <v>427</v>
      </c>
      <c r="M166" s="29" t="str">
        <f t="shared" si="5"/>
        <v>Average</v>
      </c>
    </row>
    <row r="167" spans="1:13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28">
        <f t="shared" si="4"/>
        <v>376.2</v>
      </c>
      <c r="M167" s="29" t="str">
        <f t="shared" si="5"/>
        <v>Average</v>
      </c>
    </row>
    <row r="168" spans="1:13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28">
        <f t="shared" si="4"/>
        <v>4769</v>
      </c>
      <c r="M168" s="29" t="str">
        <f t="shared" si="5"/>
        <v>Average</v>
      </c>
    </row>
    <row r="169" spans="1:13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28">
        <f t="shared" si="4"/>
        <v>5125.5</v>
      </c>
      <c r="M169" s="29" t="str">
        <f t="shared" si="5"/>
        <v>Average</v>
      </c>
    </row>
    <row r="170" spans="1:13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28">
        <f t="shared" si="4"/>
        <v>135080.63999999998</v>
      </c>
      <c r="M170" s="29" t="str">
        <f t="shared" si="5"/>
        <v>Excellent</v>
      </c>
    </row>
    <row r="171" spans="1:13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28">
        <f t="shared" si="4"/>
        <v>1789.92</v>
      </c>
      <c r="M171" s="29" t="str">
        <f t="shared" si="5"/>
        <v>Average</v>
      </c>
    </row>
    <row r="172" spans="1:13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28">
        <f t="shared" si="4"/>
        <v>2199.12</v>
      </c>
      <c r="M172" s="29" t="str">
        <f t="shared" si="5"/>
        <v>Average</v>
      </c>
    </row>
    <row r="173" spans="1:13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28">
        <f t="shared" si="4"/>
        <v>493784.72000000003</v>
      </c>
      <c r="M173" s="29" t="str">
        <f t="shared" si="5"/>
        <v>Excellent</v>
      </c>
    </row>
    <row r="174" spans="1:13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28">
        <f t="shared" si="4"/>
        <v>2889</v>
      </c>
      <c r="M174" s="29" t="str">
        <f t="shared" si="5"/>
        <v>Average</v>
      </c>
    </row>
    <row r="175" spans="1:13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28">
        <f t="shared" si="4"/>
        <v>1974.7</v>
      </c>
      <c r="M175" s="29" t="str">
        <f t="shared" si="5"/>
        <v>Average</v>
      </c>
    </row>
    <row r="176" spans="1:13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28">
        <f t="shared" si="4"/>
        <v>199322.19999999998</v>
      </c>
      <c r="M176" s="29" t="str">
        <f t="shared" si="5"/>
        <v>Excellent</v>
      </c>
    </row>
    <row r="177" spans="1:13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28">
        <f t="shared" si="4"/>
        <v>702177.52</v>
      </c>
      <c r="M177" s="29" t="str">
        <f t="shared" si="5"/>
        <v>Excellent</v>
      </c>
    </row>
    <row r="178" spans="1:13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28">
        <f t="shared" si="4"/>
        <v>97663.01999999999</v>
      </c>
      <c r="M178" s="29" t="str">
        <f t="shared" si="5"/>
        <v>Very Good</v>
      </c>
    </row>
    <row r="179" spans="1:13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28">
        <f t="shared" si="4"/>
        <v>250</v>
      </c>
      <c r="M179" s="29" t="str">
        <f t="shared" si="5"/>
        <v>Average</v>
      </c>
    </row>
    <row r="180" spans="1:13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28">
        <f t="shared" si="4"/>
        <v>61152</v>
      </c>
      <c r="M180" s="29" t="str">
        <f t="shared" si="5"/>
        <v>Very Good</v>
      </c>
    </row>
    <row r="181" spans="1:13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28">
        <f t="shared" si="4"/>
        <v>4068.96</v>
      </c>
      <c r="M181" s="29" t="str">
        <f t="shared" si="5"/>
        <v>Average</v>
      </c>
    </row>
    <row r="182" spans="1:13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28">
        <f t="shared" si="4"/>
        <v>1399.44</v>
      </c>
      <c r="M182" s="29" t="str">
        <f t="shared" si="5"/>
        <v>Average</v>
      </c>
    </row>
    <row r="183" spans="1:13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28">
        <f t="shared" si="4"/>
        <v>464794.88</v>
      </c>
      <c r="M183" s="29" t="str">
        <f t="shared" si="5"/>
        <v>Excellent</v>
      </c>
    </row>
    <row r="184" spans="1:13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28">
        <f t="shared" si="4"/>
        <v>605.64</v>
      </c>
      <c r="M184" s="29" t="str">
        <f t="shared" si="5"/>
        <v>Average</v>
      </c>
    </row>
    <row r="185" spans="1:13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28">
        <f t="shared" si="4"/>
        <v>515273.39999999997</v>
      </c>
      <c r="M185" s="29" t="str">
        <f t="shared" si="5"/>
        <v>Excellent</v>
      </c>
    </row>
    <row r="186" spans="1:13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28">
        <f t="shared" si="4"/>
        <v>243604.47999999998</v>
      </c>
      <c r="M186" s="29" t="str">
        <f t="shared" si="5"/>
        <v>Excellent</v>
      </c>
    </row>
    <row r="187" spans="1:13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28">
        <f t="shared" si="4"/>
        <v>146519.79999999999</v>
      </c>
      <c r="M187" s="29" t="str">
        <f t="shared" si="5"/>
        <v>Excellent</v>
      </c>
    </row>
    <row r="188" spans="1:13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28">
        <f t="shared" si="4"/>
        <v>1085467.68</v>
      </c>
      <c r="M188" s="29" t="str">
        <f t="shared" si="5"/>
        <v>Excellent</v>
      </c>
    </row>
    <row r="189" spans="1:13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28">
        <f t="shared" si="4"/>
        <v>57853.439999999995</v>
      </c>
      <c r="M189" s="29" t="str">
        <f t="shared" si="5"/>
        <v>Very Good</v>
      </c>
    </row>
    <row r="190" spans="1:13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28">
        <f t="shared" si="4"/>
        <v>89931.6</v>
      </c>
      <c r="M190" s="29" t="str">
        <f t="shared" si="5"/>
        <v>Very Good</v>
      </c>
    </row>
    <row r="191" spans="1:13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28">
        <f t="shared" si="4"/>
        <v>37772.879999999997</v>
      </c>
      <c r="M191" s="29" t="str">
        <f t="shared" si="5"/>
        <v>Good</v>
      </c>
    </row>
    <row r="192" spans="1:13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28">
        <f t="shared" si="4"/>
        <v>69911.100000000006</v>
      </c>
      <c r="M192" s="29" t="str">
        <f t="shared" si="5"/>
        <v>Very Good</v>
      </c>
    </row>
    <row r="193" spans="1:13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28">
        <f t="shared" si="4"/>
        <v>776.16</v>
      </c>
      <c r="M193" s="29" t="str">
        <f t="shared" si="5"/>
        <v>Average</v>
      </c>
    </row>
    <row r="194" spans="1:13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28">
        <f t="shared" si="4"/>
        <v>47691.329999999994</v>
      </c>
      <c r="M194" s="29" t="str">
        <f t="shared" si="5"/>
        <v>Good</v>
      </c>
    </row>
    <row r="195" spans="1:13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28">
        <f t="shared" ref="L195:L258" si="6">F195*G195*(1-H195/100)</f>
        <v>142058.79999999999</v>
      </c>
      <c r="M195" s="29" t="str">
        <f t="shared" ref="M195:M258" si="7">IF(L195&gt;=100000,"Excellent",IF(AND(L195&gt;=50000,L195&lt;100000),"Very Good",IF(AND(L195&gt;=20000,L195&lt;50000),"Good","Average")))</f>
        <v>Excellent</v>
      </c>
    </row>
    <row r="196" spans="1:13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28">
        <f t="shared" si="6"/>
        <v>5828.0599999999995</v>
      </c>
      <c r="M196" s="29" t="str">
        <f t="shared" si="7"/>
        <v>Average</v>
      </c>
    </row>
    <row r="197" spans="1:13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28">
        <f t="shared" si="6"/>
        <v>60268</v>
      </c>
      <c r="M197" s="29" t="str">
        <f t="shared" si="7"/>
        <v>Very Good</v>
      </c>
    </row>
    <row r="198" spans="1:13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28">
        <f t="shared" si="6"/>
        <v>199548.79999999999</v>
      </c>
      <c r="M198" s="29" t="str">
        <f t="shared" si="7"/>
        <v>Excellent</v>
      </c>
    </row>
    <row r="199" spans="1:13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28">
        <f t="shared" si="6"/>
        <v>5774.16</v>
      </c>
      <c r="M199" s="29" t="str">
        <f t="shared" si="7"/>
        <v>Average</v>
      </c>
    </row>
    <row r="200" spans="1:13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28">
        <f t="shared" si="6"/>
        <v>8137.4999999999991</v>
      </c>
      <c r="M200" s="29" t="str">
        <f t="shared" si="7"/>
        <v>Average</v>
      </c>
    </row>
    <row r="201" spans="1:13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28">
        <f t="shared" si="6"/>
        <v>902486</v>
      </c>
      <c r="M201" s="29" t="str">
        <f t="shared" si="7"/>
        <v>Excellent</v>
      </c>
    </row>
    <row r="202" spans="1:13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28">
        <f t="shared" si="6"/>
        <v>2201.7600000000002</v>
      </c>
      <c r="M202" s="29" t="str">
        <f t="shared" si="7"/>
        <v>Average</v>
      </c>
    </row>
    <row r="203" spans="1:13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28">
        <f t="shared" si="6"/>
        <v>35749.120000000003</v>
      </c>
      <c r="M203" s="29" t="str">
        <f t="shared" si="7"/>
        <v>Good</v>
      </c>
    </row>
    <row r="204" spans="1:13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28">
        <f t="shared" si="6"/>
        <v>111538.7</v>
      </c>
      <c r="M204" s="29" t="str">
        <f t="shared" si="7"/>
        <v>Excellent</v>
      </c>
    </row>
    <row r="205" spans="1:13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28">
        <f t="shared" si="6"/>
        <v>4867.2</v>
      </c>
      <c r="M205" s="29" t="str">
        <f t="shared" si="7"/>
        <v>Average</v>
      </c>
    </row>
    <row r="206" spans="1:13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28">
        <f t="shared" si="6"/>
        <v>104.16</v>
      </c>
      <c r="M206" s="29" t="str">
        <f t="shared" si="7"/>
        <v>Average</v>
      </c>
    </row>
    <row r="207" spans="1:13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28">
        <f t="shared" si="6"/>
        <v>540</v>
      </c>
      <c r="M207" s="29" t="str">
        <f t="shared" si="7"/>
        <v>Average</v>
      </c>
    </row>
    <row r="208" spans="1:13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28">
        <f t="shared" si="6"/>
        <v>1673.84</v>
      </c>
      <c r="M208" s="29" t="str">
        <f t="shared" si="7"/>
        <v>Average</v>
      </c>
    </row>
    <row r="209" spans="1:13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28">
        <f t="shared" si="6"/>
        <v>41185.800000000003</v>
      </c>
      <c r="M209" s="29" t="str">
        <f t="shared" si="7"/>
        <v>Good</v>
      </c>
    </row>
    <row r="210" spans="1:13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28">
        <f t="shared" si="6"/>
        <v>346856.4</v>
      </c>
      <c r="M210" s="29" t="str">
        <f t="shared" si="7"/>
        <v>Excellent</v>
      </c>
    </row>
    <row r="211" spans="1:13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28">
        <f t="shared" si="6"/>
        <v>3490</v>
      </c>
      <c r="M211" s="29" t="str">
        <f t="shared" si="7"/>
        <v>Average</v>
      </c>
    </row>
    <row r="212" spans="1:13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28">
        <f t="shared" si="6"/>
        <v>16633.98</v>
      </c>
      <c r="M212" s="29" t="str">
        <f t="shared" si="7"/>
        <v>Average</v>
      </c>
    </row>
    <row r="213" spans="1:13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28">
        <f t="shared" si="6"/>
        <v>319734</v>
      </c>
      <c r="M213" s="29" t="str">
        <f t="shared" si="7"/>
        <v>Excellent</v>
      </c>
    </row>
    <row r="214" spans="1:13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28">
        <f t="shared" si="6"/>
        <v>390593.28000000003</v>
      </c>
      <c r="M214" s="29" t="str">
        <f t="shared" si="7"/>
        <v>Excellent</v>
      </c>
    </row>
    <row r="215" spans="1:13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28">
        <f t="shared" si="6"/>
        <v>262808</v>
      </c>
      <c r="M215" s="29" t="str">
        <f t="shared" si="7"/>
        <v>Excellent</v>
      </c>
    </row>
    <row r="216" spans="1:13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28">
        <f t="shared" si="6"/>
        <v>7524</v>
      </c>
      <c r="M216" s="29" t="str">
        <f t="shared" si="7"/>
        <v>Average</v>
      </c>
    </row>
    <row r="217" spans="1:13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28">
        <f t="shared" si="6"/>
        <v>482026.5</v>
      </c>
      <c r="M217" s="29" t="str">
        <f t="shared" si="7"/>
        <v>Excellent</v>
      </c>
    </row>
    <row r="218" spans="1:13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28">
        <f t="shared" si="6"/>
        <v>1080</v>
      </c>
      <c r="M218" s="29" t="str">
        <f t="shared" si="7"/>
        <v>Average</v>
      </c>
    </row>
    <row r="219" spans="1:13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28">
        <f t="shared" si="6"/>
        <v>120.60000000000001</v>
      </c>
      <c r="M219" s="29" t="str">
        <f t="shared" si="7"/>
        <v>Average</v>
      </c>
    </row>
    <row r="220" spans="1:13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28">
        <f t="shared" si="6"/>
        <v>397.8</v>
      </c>
      <c r="M220" s="29" t="str">
        <f t="shared" si="7"/>
        <v>Average</v>
      </c>
    </row>
    <row r="221" spans="1:13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28">
        <f t="shared" si="6"/>
        <v>17367.560000000001</v>
      </c>
      <c r="M221" s="29" t="str">
        <f t="shared" si="7"/>
        <v>Average</v>
      </c>
    </row>
    <row r="222" spans="1:13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28">
        <f t="shared" si="6"/>
        <v>43432.200000000004</v>
      </c>
      <c r="M222" s="29" t="str">
        <f t="shared" si="7"/>
        <v>Good</v>
      </c>
    </row>
    <row r="223" spans="1:13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28">
        <f t="shared" si="6"/>
        <v>21479.040000000001</v>
      </c>
      <c r="M223" s="29" t="str">
        <f t="shared" si="7"/>
        <v>Good</v>
      </c>
    </row>
    <row r="224" spans="1:13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28">
        <f t="shared" si="6"/>
        <v>8366.2799999999988</v>
      </c>
      <c r="M224" s="29" t="str">
        <f t="shared" si="7"/>
        <v>Average</v>
      </c>
    </row>
    <row r="225" spans="1:13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28">
        <f t="shared" si="6"/>
        <v>264643.20000000001</v>
      </c>
      <c r="M225" s="29" t="str">
        <f t="shared" si="7"/>
        <v>Excellent</v>
      </c>
    </row>
    <row r="226" spans="1:13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28">
        <f t="shared" si="6"/>
        <v>454248.96000000002</v>
      </c>
      <c r="M226" s="29" t="str">
        <f t="shared" si="7"/>
        <v>Excellent</v>
      </c>
    </row>
    <row r="227" spans="1:13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28">
        <f t="shared" si="6"/>
        <v>277316</v>
      </c>
      <c r="M227" s="29" t="str">
        <f t="shared" si="7"/>
        <v>Excellent</v>
      </c>
    </row>
    <row r="228" spans="1:13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28">
        <f t="shared" si="6"/>
        <v>18599.68</v>
      </c>
      <c r="M228" s="29" t="str">
        <f t="shared" si="7"/>
        <v>Average</v>
      </c>
    </row>
    <row r="229" spans="1:13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28">
        <f t="shared" si="6"/>
        <v>251668.80000000002</v>
      </c>
      <c r="M229" s="29" t="str">
        <f t="shared" si="7"/>
        <v>Excellent</v>
      </c>
    </row>
    <row r="230" spans="1:13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28">
        <f t="shared" si="6"/>
        <v>72182.880000000005</v>
      </c>
      <c r="M230" s="29" t="str">
        <f t="shared" si="7"/>
        <v>Very Good</v>
      </c>
    </row>
    <row r="231" spans="1:13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28">
        <f t="shared" si="6"/>
        <v>19087.32</v>
      </c>
      <c r="M231" s="29" t="str">
        <f t="shared" si="7"/>
        <v>Average</v>
      </c>
    </row>
    <row r="232" spans="1:13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28">
        <f t="shared" si="6"/>
        <v>117797.68000000001</v>
      </c>
      <c r="M232" s="29" t="str">
        <f t="shared" si="7"/>
        <v>Excellent</v>
      </c>
    </row>
    <row r="233" spans="1:13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28">
        <f t="shared" si="6"/>
        <v>39019.68</v>
      </c>
      <c r="M233" s="29" t="str">
        <f t="shared" si="7"/>
        <v>Good</v>
      </c>
    </row>
    <row r="234" spans="1:13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28">
        <f t="shared" si="6"/>
        <v>236997</v>
      </c>
      <c r="M234" s="29" t="str">
        <f t="shared" si="7"/>
        <v>Excellent</v>
      </c>
    </row>
    <row r="235" spans="1:13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28">
        <f t="shared" si="6"/>
        <v>12601.6</v>
      </c>
      <c r="M235" s="29" t="str">
        <f t="shared" si="7"/>
        <v>Average</v>
      </c>
    </row>
    <row r="236" spans="1:13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28">
        <f t="shared" si="6"/>
        <v>3404.25</v>
      </c>
      <c r="M236" s="29" t="str">
        <f t="shared" si="7"/>
        <v>Average</v>
      </c>
    </row>
    <row r="237" spans="1:13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28">
        <f t="shared" si="6"/>
        <v>2109.2399999999998</v>
      </c>
      <c r="M237" s="29" t="str">
        <f t="shared" si="7"/>
        <v>Average</v>
      </c>
    </row>
    <row r="238" spans="1:13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28">
        <f t="shared" si="6"/>
        <v>95044.319999999992</v>
      </c>
      <c r="M238" s="29" t="str">
        <f t="shared" si="7"/>
        <v>Very Good</v>
      </c>
    </row>
    <row r="239" spans="1:13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28">
        <f t="shared" si="6"/>
        <v>950.4</v>
      </c>
      <c r="M239" s="29" t="str">
        <f t="shared" si="7"/>
        <v>Average</v>
      </c>
    </row>
    <row r="240" spans="1:13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28">
        <f t="shared" si="6"/>
        <v>21700.799999999999</v>
      </c>
      <c r="M240" s="29" t="str">
        <f t="shared" si="7"/>
        <v>Good</v>
      </c>
    </row>
    <row r="241" spans="1:13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28">
        <f t="shared" si="6"/>
        <v>10731</v>
      </c>
      <c r="M241" s="29" t="str">
        <f t="shared" si="7"/>
        <v>Average</v>
      </c>
    </row>
    <row r="242" spans="1:13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28">
        <f t="shared" si="6"/>
        <v>12537</v>
      </c>
      <c r="M242" s="29" t="str">
        <f t="shared" si="7"/>
        <v>Average</v>
      </c>
    </row>
    <row r="243" spans="1:13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28">
        <f t="shared" si="6"/>
        <v>1058.4000000000001</v>
      </c>
      <c r="M243" s="29" t="str">
        <f t="shared" si="7"/>
        <v>Average</v>
      </c>
    </row>
    <row r="244" spans="1:13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28">
        <f t="shared" si="6"/>
        <v>49172.5</v>
      </c>
      <c r="M244" s="29" t="str">
        <f t="shared" si="7"/>
        <v>Good</v>
      </c>
    </row>
    <row r="245" spans="1:13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28">
        <f t="shared" si="6"/>
        <v>55783.199999999997</v>
      </c>
      <c r="M245" s="29" t="str">
        <f t="shared" si="7"/>
        <v>Very Good</v>
      </c>
    </row>
    <row r="246" spans="1:13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28">
        <f t="shared" si="6"/>
        <v>1219742.43</v>
      </c>
      <c r="M246" s="29" t="str">
        <f t="shared" si="7"/>
        <v>Excellent</v>
      </c>
    </row>
    <row r="247" spans="1:13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28">
        <f t="shared" si="6"/>
        <v>23250.5</v>
      </c>
      <c r="M247" s="29" t="str">
        <f t="shared" si="7"/>
        <v>Good</v>
      </c>
    </row>
    <row r="248" spans="1:13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28">
        <f t="shared" si="6"/>
        <v>3124.7999999999997</v>
      </c>
      <c r="M248" s="29" t="str">
        <f t="shared" si="7"/>
        <v>Average</v>
      </c>
    </row>
    <row r="249" spans="1:13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28">
        <f t="shared" si="6"/>
        <v>1850.6999999999998</v>
      </c>
      <c r="M249" s="29" t="str">
        <f t="shared" si="7"/>
        <v>Average</v>
      </c>
    </row>
    <row r="250" spans="1:13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28">
        <f t="shared" si="6"/>
        <v>100742.39999999999</v>
      </c>
      <c r="M250" s="29" t="str">
        <f t="shared" si="7"/>
        <v>Excellent</v>
      </c>
    </row>
    <row r="251" spans="1:13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28">
        <f t="shared" si="6"/>
        <v>122672.57999999999</v>
      </c>
      <c r="M251" s="29" t="str">
        <f t="shared" si="7"/>
        <v>Excellent</v>
      </c>
    </row>
    <row r="252" spans="1:13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28">
        <f t="shared" si="6"/>
        <v>922412</v>
      </c>
      <c r="M252" s="29" t="str">
        <f t="shared" si="7"/>
        <v>Excellent</v>
      </c>
    </row>
    <row r="253" spans="1:13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28">
        <f t="shared" si="6"/>
        <v>3662.25</v>
      </c>
      <c r="M253" s="29" t="str">
        <f t="shared" si="7"/>
        <v>Average</v>
      </c>
    </row>
    <row r="254" spans="1:13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28">
        <f t="shared" si="6"/>
        <v>890567.99999999988</v>
      </c>
      <c r="M254" s="29" t="str">
        <f t="shared" si="7"/>
        <v>Excellent</v>
      </c>
    </row>
    <row r="255" spans="1:13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28">
        <f t="shared" si="6"/>
        <v>6839.0999999999995</v>
      </c>
      <c r="M255" s="29" t="str">
        <f t="shared" si="7"/>
        <v>Average</v>
      </c>
    </row>
    <row r="256" spans="1:13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28">
        <f t="shared" si="6"/>
        <v>2128</v>
      </c>
      <c r="M256" s="29" t="str">
        <f t="shared" si="7"/>
        <v>Average</v>
      </c>
    </row>
    <row r="257" spans="1:13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28">
        <f t="shared" si="6"/>
        <v>7174.0199999999995</v>
      </c>
      <c r="M257" s="29" t="str">
        <f t="shared" si="7"/>
        <v>Average</v>
      </c>
    </row>
    <row r="258" spans="1:13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28">
        <f t="shared" si="6"/>
        <v>327976.88</v>
      </c>
      <c r="M258" s="29" t="str">
        <f t="shared" si="7"/>
        <v>Excellent</v>
      </c>
    </row>
    <row r="259" spans="1:13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28">
        <f t="shared" ref="L259:L322" si="8">F259*G259*(1-H259/100)</f>
        <v>10070</v>
      </c>
      <c r="M259" s="29" t="str">
        <f t="shared" ref="M259:M322" si="9">IF(L259&gt;=100000,"Excellent",IF(AND(L259&gt;=50000,L259&lt;100000),"Very Good",IF(AND(L259&gt;=20000,L259&lt;50000),"Good","Average")))</f>
        <v>Average</v>
      </c>
    </row>
    <row r="260" spans="1:13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28">
        <f t="shared" si="8"/>
        <v>329553.5</v>
      </c>
      <c r="M260" s="29" t="str">
        <f t="shared" si="9"/>
        <v>Excellent</v>
      </c>
    </row>
    <row r="261" spans="1:13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28">
        <f t="shared" si="8"/>
        <v>940175.1</v>
      </c>
      <c r="M261" s="29" t="str">
        <f t="shared" si="9"/>
        <v>Excellent</v>
      </c>
    </row>
    <row r="262" spans="1:13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28">
        <f t="shared" si="8"/>
        <v>3013.2</v>
      </c>
      <c r="M262" s="29" t="str">
        <f t="shared" si="9"/>
        <v>Average</v>
      </c>
    </row>
    <row r="263" spans="1:13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28">
        <f t="shared" si="8"/>
        <v>17067.149999999998</v>
      </c>
      <c r="M263" s="29" t="str">
        <f t="shared" si="9"/>
        <v>Average</v>
      </c>
    </row>
    <row r="264" spans="1:13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28">
        <f t="shared" si="8"/>
        <v>15050</v>
      </c>
      <c r="M264" s="29" t="str">
        <f t="shared" si="9"/>
        <v>Average</v>
      </c>
    </row>
    <row r="265" spans="1:13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28">
        <f t="shared" si="8"/>
        <v>85927.5</v>
      </c>
      <c r="M265" s="29" t="str">
        <f t="shared" si="9"/>
        <v>Very Good</v>
      </c>
    </row>
    <row r="266" spans="1:13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28">
        <f t="shared" si="8"/>
        <v>978.3599999999999</v>
      </c>
      <c r="M266" s="29" t="str">
        <f t="shared" si="9"/>
        <v>Average</v>
      </c>
    </row>
    <row r="267" spans="1:13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28">
        <f t="shared" si="8"/>
        <v>6080.9</v>
      </c>
      <c r="M267" s="29" t="str">
        <f t="shared" si="9"/>
        <v>Average</v>
      </c>
    </row>
    <row r="268" spans="1:13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28">
        <f t="shared" si="8"/>
        <v>50</v>
      </c>
      <c r="M268" s="29" t="str">
        <f t="shared" si="9"/>
        <v>Average</v>
      </c>
    </row>
    <row r="269" spans="1:13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28">
        <f t="shared" si="8"/>
        <v>407360.8</v>
      </c>
      <c r="M269" s="29" t="str">
        <f t="shared" si="9"/>
        <v>Excellent</v>
      </c>
    </row>
    <row r="270" spans="1:13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28">
        <f t="shared" si="8"/>
        <v>78258.880000000005</v>
      </c>
      <c r="M270" s="29" t="str">
        <f t="shared" si="9"/>
        <v>Very Good</v>
      </c>
    </row>
    <row r="271" spans="1:13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28">
        <f t="shared" si="8"/>
        <v>936562.08</v>
      </c>
      <c r="M271" s="29" t="str">
        <f t="shared" si="9"/>
        <v>Excellent</v>
      </c>
    </row>
    <row r="272" spans="1:13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28">
        <f t="shared" si="8"/>
        <v>627997</v>
      </c>
      <c r="M272" s="29" t="str">
        <f t="shared" si="9"/>
        <v>Excellent</v>
      </c>
    </row>
    <row r="273" spans="1:13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28">
        <f t="shared" si="8"/>
        <v>548327</v>
      </c>
      <c r="M273" s="29" t="str">
        <f t="shared" si="9"/>
        <v>Excellent</v>
      </c>
    </row>
    <row r="274" spans="1:13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28">
        <f t="shared" si="8"/>
        <v>217726.07999999999</v>
      </c>
      <c r="M274" s="29" t="str">
        <f t="shared" si="9"/>
        <v>Excellent</v>
      </c>
    </row>
    <row r="275" spans="1:13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28">
        <f t="shared" si="8"/>
        <v>419298.88</v>
      </c>
      <c r="M275" s="29" t="str">
        <f t="shared" si="9"/>
        <v>Excellent</v>
      </c>
    </row>
    <row r="276" spans="1:13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28">
        <f t="shared" si="8"/>
        <v>7667</v>
      </c>
      <c r="M276" s="29" t="str">
        <f t="shared" si="9"/>
        <v>Average</v>
      </c>
    </row>
    <row r="277" spans="1:13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28">
        <f t="shared" si="8"/>
        <v>11421.449999999999</v>
      </c>
      <c r="M277" s="29" t="str">
        <f t="shared" si="9"/>
        <v>Average</v>
      </c>
    </row>
    <row r="278" spans="1:13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28">
        <f t="shared" si="8"/>
        <v>3864</v>
      </c>
      <c r="M278" s="29" t="str">
        <f t="shared" si="9"/>
        <v>Average</v>
      </c>
    </row>
    <row r="279" spans="1:13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28">
        <f t="shared" si="8"/>
        <v>76777.08</v>
      </c>
      <c r="M279" s="29" t="str">
        <f t="shared" si="9"/>
        <v>Very Good</v>
      </c>
    </row>
    <row r="280" spans="1:13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28">
        <f t="shared" si="8"/>
        <v>961223.2</v>
      </c>
      <c r="M280" s="29" t="str">
        <f t="shared" si="9"/>
        <v>Excellent</v>
      </c>
    </row>
    <row r="281" spans="1:13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28">
        <f t="shared" si="8"/>
        <v>418.5</v>
      </c>
      <c r="M281" s="29" t="str">
        <f t="shared" si="9"/>
        <v>Average</v>
      </c>
    </row>
    <row r="282" spans="1:13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28">
        <f t="shared" si="8"/>
        <v>1518</v>
      </c>
      <c r="M282" s="29" t="str">
        <f t="shared" si="9"/>
        <v>Average</v>
      </c>
    </row>
    <row r="283" spans="1:13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28">
        <f t="shared" si="8"/>
        <v>34322.400000000001</v>
      </c>
      <c r="M283" s="29" t="str">
        <f t="shared" si="9"/>
        <v>Good</v>
      </c>
    </row>
    <row r="284" spans="1:13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28">
        <f t="shared" si="8"/>
        <v>6861.96</v>
      </c>
      <c r="M284" s="29" t="str">
        <f t="shared" si="9"/>
        <v>Average</v>
      </c>
    </row>
    <row r="285" spans="1:13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28">
        <f t="shared" si="8"/>
        <v>6569.92</v>
      </c>
      <c r="M285" s="29" t="str">
        <f t="shared" si="9"/>
        <v>Average</v>
      </c>
    </row>
    <row r="286" spans="1:13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28">
        <f t="shared" si="8"/>
        <v>2612.0499999999997</v>
      </c>
      <c r="M286" s="29" t="str">
        <f t="shared" si="9"/>
        <v>Average</v>
      </c>
    </row>
    <row r="287" spans="1:13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28">
        <f t="shared" si="8"/>
        <v>11818.8</v>
      </c>
      <c r="M287" s="29" t="str">
        <f t="shared" si="9"/>
        <v>Average</v>
      </c>
    </row>
    <row r="288" spans="1:13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28">
        <f t="shared" si="8"/>
        <v>3689.7</v>
      </c>
      <c r="M288" s="29" t="str">
        <f t="shared" si="9"/>
        <v>Average</v>
      </c>
    </row>
    <row r="289" spans="1:13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28">
        <f t="shared" si="8"/>
        <v>448572.60000000003</v>
      </c>
      <c r="M289" s="29" t="str">
        <f t="shared" si="9"/>
        <v>Excellent</v>
      </c>
    </row>
    <row r="290" spans="1:13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28">
        <f t="shared" si="8"/>
        <v>471756.32</v>
      </c>
      <c r="M290" s="29" t="str">
        <f t="shared" si="9"/>
        <v>Excellent</v>
      </c>
    </row>
    <row r="291" spans="1:13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28">
        <f t="shared" si="8"/>
        <v>177972.15</v>
      </c>
      <c r="M291" s="29" t="str">
        <f t="shared" si="9"/>
        <v>Excellent</v>
      </c>
    </row>
    <row r="292" spans="1:13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28">
        <f t="shared" si="8"/>
        <v>6702.25</v>
      </c>
      <c r="M292" s="29" t="str">
        <f t="shared" si="9"/>
        <v>Average</v>
      </c>
    </row>
    <row r="293" spans="1:13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28">
        <f t="shared" si="8"/>
        <v>262901.09999999998</v>
      </c>
      <c r="M293" s="29" t="str">
        <f t="shared" si="9"/>
        <v>Excellent</v>
      </c>
    </row>
    <row r="294" spans="1:13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28">
        <f t="shared" si="8"/>
        <v>68311.95</v>
      </c>
      <c r="M294" s="29" t="str">
        <f t="shared" si="9"/>
        <v>Very Good</v>
      </c>
    </row>
    <row r="295" spans="1:13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28">
        <f t="shared" si="8"/>
        <v>104025.60000000001</v>
      </c>
      <c r="M295" s="29" t="str">
        <f t="shared" si="9"/>
        <v>Excellent</v>
      </c>
    </row>
    <row r="296" spans="1:13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28">
        <f t="shared" si="8"/>
        <v>168044.79999999999</v>
      </c>
      <c r="M296" s="29" t="str">
        <f t="shared" si="9"/>
        <v>Excellent</v>
      </c>
    </row>
    <row r="297" spans="1:13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28">
        <f t="shared" si="8"/>
        <v>1206</v>
      </c>
      <c r="M297" s="29" t="str">
        <f t="shared" si="9"/>
        <v>Average</v>
      </c>
    </row>
    <row r="298" spans="1:13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28">
        <f t="shared" si="8"/>
        <v>309002.40000000002</v>
      </c>
      <c r="M298" s="29" t="str">
        <f t="shared" si="9"/>
        <v>Excellent</v>
      </c>
    </row>
    <row r="299" spans="1:13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28">
        <f t="shared" si="8"/>
        <v>386271.89999999997</v>
      </c>
      <c r="M299" s="29" t="str">
        <f t="shared" si="9"/>
        <v>Excellent</v>
      </c>
    </row>
    <row r="300" spans="1:13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28">
        <f t="shared" si="8"/>
        <v>68858.720000000001</v>
      </c>
      <c r="M300" s="29" t="str">
        <f t="shared" si="9"/>
        <v>Very Good</v>
      </c>
    </row>
    <row r="301" spans="1:13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28">
        <f t="shared" si="8"/>
        <v>27283.200000000001</v>
      </c>
      <c r="M301" s="29" t="str">
        <f t="shared" si="9"/>
        <v>Good</v>
      </c>
    </row>
    <row r="302" spans="1:13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28">
        <f t="shared" si="8"/>
        <v>18954</v>
      </c>
      <c r="M302" s="29" t="str">
        <f t="shared" si="9"/>
        <v>Average</v>
      </c>
    </row>
    <row r="303" spans="1:13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28">
        <f t="shared" si="8"/>
        <v>65025</v>
      </c>
      <c r="M303" s="29" t="str">
        <f t="shared" si="9"/>
        <v>Very Good</v>
      </c>
    </row>
    <row r="304" spans="1:13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28">
        <f t="shared" si="8"/>
        <v>65865.8</v>
      </c>
      <c r="M304" s="29" t="str">
        <f t="shared" si="9"/>
        <v>Very Good</v>
      </c>
    </row>
    <row r="305" spans="1:13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28">
        <f t="shared" si="8"/>
        <v>6844.7999999999993</v>
      </c>
      <c r="M305" s="29" t="str">
        <f t="shared" si="9"/>
        <v>Average</v>
      </c>
    </row>
    <row r="306" spans="1:13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28">
        <f t="shared" si="8"/>
        <v>533902</v>
      </c>
      <c r="M306" s="29" t="str">
        <f t="shared" si="9"/>
        <v>Excellent</v>
      </c>
    </row>
    <row r="307" spans="1:13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28">
        <f t="shared" si="8"/>
        <v>332</v>
      </c>
      <c r="M307" s="29" t="str">
        <f t="shared" si="9"/>
        <v>Average</v>
      </c>
    </row>
    <row r="308" spans="1:13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28">
        <f t="shared" si="8"/>
        <v>119449.44</v>
      </c>
      <c r="M308" s="29" t="str">
        <f t="shared" si="9"/>
        <v>Excellent</v>
      </c>
    </row>
    <row r="309" spans="1:13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28">
        <f t="shared" si="8"/>
        <v>753255</v>
      </c>
      <c r="M309" s="29" t="str">
        <f t="shared" si="9"/>
        <v>Excellent</v>
      </c>
    </row>
    <row r="310" spans="1:13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28">
        <f t="shared" si="8"/>
        <v>66.5</v>
      </c>
      <c r="M310" s="29" t="str">
        <f t="shared" si="9"/>
        <v>Average</v>
      </c>
    </row>
    <row r="311" spans="1:13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28">
        <f t="shared" si="8"/>
        <v>241129</v>
      </c>
      <c r="M311" s="29" t="str">
        <f t="shared" si="9"/>
        <v>Excellent</v>
      </c>
    </row>
    <row r="312" spans="1:13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28">
        <f t="shared" si="8"/>
        <v>418</v>
      </c>
      <c r="M312" s="29" t="str">
        <f t="shared" si="9"/>
        <v>Average</v>
      </c>
    </row>
    <row r="313" spans="1:13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28">
        <f t="shared" si="8"/>
        <v>64170.400000000001</v>
      </c>
      <c r="M313" s="29" t="str">
        <f t="shared" si="9"/>
        <v>Very Good</v>
      </c>
    </row>
    <row r="314" spans="1:13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28">
        <f t="shared" si="8"/>
        <v>58665.599999999999</v>
      </c>
      <c r="M314" s="29" t="str">
        <f t="shared" si="9"/>
        <v>Very Good</v>
      </c>
    </row>
    <row r="315" spans="1:13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28">
        <f t="shared" si="8"/>
        <v>62014.400000000001</v>
      </c>
      <c r="M315" s="29" t="str">
        <f t="shared" si="9"/>
        <v>Very Good</v>
      </c>
    </row>
    <row r="316" spans="1:13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28">
        <f t="shared" si="8"/>
        <v>791232.4</v>
      </c>
      <c r="M316" s="29" t="str">
        <f t="shared" si="9"/>
        <v>Excellent</v>
      </c>
    </row>
    <row r="317" spans="1:13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28">
        <f t="shared" si="8"/>
        <v>64045.38</v>
      </c>
      <c r="M317" s="29" t="str">
        <f t="shared" si="9"/>
        <v>Very Good</v>
      </c>
    </row>
    <row r="318" spans="1:13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28">
        <f t="shared" si="8"/>
        <v>447804.35</v>
      </c>
      <c r="M318" s="29" t="str">
        <f t="shared" si="9"/>
        <v>Excellent</v>
      </c>
    </row>
    <row r="319" spans="1:13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28">
        <f t="shared" si="8"/>
        <v>133.76</v>
      </c>
      <c r="M319" s="29" t="str">
        <f t="shared" si="9"/>
        <v>Average</v>
      </c>
    </row>
    <row r="320" spans="1:13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28">
        <f t="shared" si="8"/>
        <v>923414.66999999993</v>
      </c>
      <c r="M320" s="29" t="str">
        <f t="shared" si="9"/>
        <v>Excellent</v>
      </c>
    </row>
    <row r="321" spans="1:13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28">
        <f t="shared" si="8"/>
        <v>1022.9999999999999</v>
      </c>
      <c r="M321" s="29" t="str">
        <f t="shared" si="9"/>
        <v>Average</v>
      </c>
    </row>
    <row r="322" spans="1:13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28">
        <f t="shared" si="8"/>
        <v>41805.360000000001</v>
      </c>
      <c r="M322" s="29" t="str">
        <f t="shared" si="9"/>
        <v>Good</v>
      </c>
    </row>
    <row r="323" spans="1:13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28">
        <f t="shared" ref="L323:L386" si="10">F323*G323*(1-H323/100)</f>
        <v>108063.9</v>
      </c>
      <c r="M323" s="29" t="str">
        <f t="shared" ref="M323:M386" si="11">IF(L323&gt;=100000,"Excellent",IF(AND(L323&gt;=50000,L323&lt;100000),"Very Good",IF(AND(L323&gt;=20000,L323&lt;50000),"Good","Average")))</f>
        <v>Excellent</v>
      </c>
    </row>
    <row r="324" spans="1:13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28">
        <f t="shared" si="10"/>
        <v>57733.200000000004</v>
      </c>
      <c r="M324" s="29" t="str">
        <f t="shared" si="11"/>
        <v>Very Good</v>
      </c>
    </row>
    <row r="325" spans="1:13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28">
        <f t="shared" si="10"/>
        <v>3643.1</v>
      </c>
      <c r="M325" s="29" t="str">
        <f t="shared" si="11"/>
        <v>Average</v>
      </c>
    </row>
    <row r="326" spans="1:13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28">
        <f t="shared" si="10"/>
        <v>462860.64</v>
      </c>
      <c r="M326" s="29" t="str">
        <f t="shared" si="11"/>
        <v>Excellent</v>
      </c>
    </row>
    <row r="327" spans="1:13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28">
        <f t="shared" si="10"/>
        <v>29646</v>
      </c>
      <c r="M327" s="29" t="str">
        <f t="shared" si="11"/>
        <v>Good</v>
      </c>
    </row>
    <row r="328" spans="1:13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28">
        <f t="shared" si="10"/>
        <v>6398.25</v>
      </c>
      <c r="M328" s="29" t="str">
        <f t="shared" si="11"/>
        <v>Average</v>
      </c>
    </row>
    <row r="329" spans="1:13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28">
        <f t="shared" si="10"/>
        <v>528</v>
      </c>
      <c r="M329" s="29" t="str">
        <f t="shared" si="11"/>
        <v>Average</v>
      </c>
    </row>
    <row r="330" spans="1:13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28">
        <f t="shared" si="10"/>
        <v>3881.7</v>
      </c>
      <c r="M330" s="29" t="str">
        <f t="shared" si="11"/>
        <v>Average</v>
      </c>
    </row>
    <row r="331" spans="1:13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28">
        <f t="shared" si="10"/>
        <v>156923</v>
      </c>
      <c r="M331" s="29" t="str">
        <f t="shared" si="11"/>
        <v>Excellent</v>
      </c>
    </row>
    <row r="332" spans="1:13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28">
        <f t="shared" si="10"/>
        <v>85371.72</v>
      </c>
      <c r="M332" s="29" t="str">
        <f t="shared" si="11"/>
        <v>Very Good</v>
      </c>
    </row>
    <row r="333" spans="1:13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28">
        <f t="shared" si="10"/>
        <v>3011.54</v>
      </c>
      <c r="M333" s="29" t="str">
        <f t="shared" si="11"/>
        <v>Average</v>
      </c>
    </row>
    <row r="334" spans="1:13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28">
        <f t="shared" si="10"/>
        <v>7321.6</v>
      </c>
      <c r="M334" s="29" t="str">
        <f t="shared" si="11"/>
        <v>Average</v>
      </c>
    </row>
    <row r="335" spans="1:13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28">
        <f t="shared" si="10"/>
        <v>555949.35</v>
      </c>
      <c r="M335" s="29" t="str">
        <f t="shared" si="11"/>
        <v>Excellent</v>
      </c>
    </row>
    <row r="336" spans="1:13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28">
        <f t="shared" si="10"/>
        <v>11840.4</v>
      </c>
      <c r="M336" s="29" t="str">
        <f t="shared" si="11"/>
        <v>Average</v>
      </c>
    </row>
    <row r="337" spans="1:13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28">
        <f t="shared" si="10"/>
        <v>56240</v>
      </c>
      <c r="M337" s="29" t="str">
        <f t="shared" si="11"/>
        <v>Very Good</v>
      </c>
    </row>
    <row r="338" spans="1:13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28">
        <f t="shared" si="10"/>
        <v>4699.8</v>
      </c>
      <c r="M338" s="29" t="str">
        <f t="shared" si="11"/>
        <v>Average</v>
      </c>
    </row>
    <row r="339" spans="1:13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28">
        <f t="shared" si="10"/>
        <v>158830.5</v>
      </c>
      <c r="M339" s="29" t="str">
        <f t="shared" si="11"/>
        <v>Excellent</v>
      </c>
    </row>
    <row r="340" spans="1:13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28">
        <f t="shared" si="10"/>
        <v>1721.3999999999999</v>
      </c>
      <c r="M340" s="29" t="str">
        <f t="shared" si="11"/>
        <v>Average</v>
      </c>
    </row>
    <row r="341" spans="1:13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28">
        <f t="shared" si="10"/>
        <v>40729.919999999998</v>
      </c>
      <c r="M341" s="29" t="str">
        <f t="shared" si="11"/>
        <v>Good</v>
      </c>
    </row>
    <row r="342" spans="1:13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28">
        <f t="shared" si="10"/>
        <v>104781.2</v>
      </c>
      <c r="M342" s="29" t="str">
        <f t="shared" si="11"/>
        <v>Excellent</v>
      </c>
    </row>
    <row r="343" spans="1:13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28">
        <f t="shared" si="10"/>
        <v>529085.04999999993</v>
      </c>
      <c r="M343" s="29" t="str">
        <f t="shared" si="11"/>
        <v>Excellent</v>
      </c>
    </row>
    <row r="344" spans="1:13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28">
        <f t="shared" si="10"/>
        <v>389356.1</v>
      </c>
      <c r="M344" s="29" t="str">
        <f t="shared" si="11"/>
        <v>Excellent</v>
      </c>
    </row>
    <row r="345" spans="1:13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28">
        <f t="shared" si="10"/>
        <v>3888</v>
      </c>
      <c r="M345" s="29" t="str">
        <f t="shared" si="11"/>
        <v>Average</v>
      </c>
    </row>
    <row r="346" spans="1:13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28">
        <f t="shared" si="10"/>
        <v>545875.20000000007</v>
      </c>
      <c r="M346" s="29" t="str">
        <f t="shared" si="11"/>
        <v>Excellent</v>
      </c>
    </row>
    <row r="347" spans="1:13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28">
        <f t="shared" si="10"/>
        <v>93976</v>
      </c>
      <c r="M347" s="29" t="str">
        <f t="shared" si="11"/>
        <v>Very Good</v>
      </c>
    </row>
    <row r="348" spans="1:13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28">
        <f t="shared" si="10"/>
        <v>82062.399999999994</v>
      </c>
      <c r="M348" s="29" t="str">
        <f t="shared" si="11"/>
        <v>Very Good</v>
      </c>
    </row>
    <row r="349" spans="1:13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28">
        <f t="shared" si="10"/>
        <v>2723.04</v>
      </c>
      <c r="M349" s="29" t="str">
        <f t="shared" si="11"/>
        <v>Average</v>
      </c>
    </row>
    <row r="350" spans="1:13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28">
        <f t="shared" si="10"/>
        <v>1166610.5999999999</v>
      </c>
      <c r="M350" s="29" t="str">
        <f t="shared" si="11"/>
        <v>Excellent</v>
      </c>
    </row>
    <row r="351" spans="1:13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28">
        <f t="shared" si="10"/>
        <v>166003.20000000001</v>
      </c>
      <c r="M351" s="29" t="str">
        <f t="shared" si="11"/>
        <v>Excellent</v>
      </c>
    </row>
    <row r="352" spans="1:13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28">
        <f t="shared" si="10"/>
        <v>15264</v>
      </c>
      <c r="M352" s="29" t="str">
        <f t="shared" si="11"/>
        <v>Average</v>
      </c>
    </row>
    <row r="353" spans="1:13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28">
        <f t="shared" si="10"/>
        <v>2314.1999999999998</v>
      </c>
      <c r="M353" s="29" t="str">
        <f t="shared" si="11"/>
        <v>Average</v>
      </c>
    </row>
    <row r="354" spans="1:13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28">
        <f t="shared" si="10"/>
        <v>2910.6</v>
      </c>
      <c r="M354" s="29" t="str">
        <f t="shared" si="11"/>
        <v>Average</v>
      </c>
    </row>
    <row r="355" spans="1:13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28">
        <f t="shared" si="10"/>
        <v>190319.25</v>
      </c>
      <c r="M355" s="29" t="str">
        <f t="shared" si="11"/>
        <v>Excellent</v>
      </c>
    </row>
    <row r="356" spans="1:13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28">
        <f t="shared" si="10"/>
        <v>634987.07999999996</v>
      </c>
      <c r="M356" s="29" t="str">
        <f t="shared" si="11"/>
        <v>Excellent</v>
      </c>
    </row>
    <row r="357" spans="1:13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28">
        <f t="shared" si="10"/>
        <v>769780.8</v>
      </c>
      <c r="M357" s="29" t="str">
        <f t="shared" si="11"/>
        <v>Excellent</v>
      </c>
    </row>
    <row r="358" spans="1:13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28">
        <f t="shared" si="10"/>
        <v>2036.6999999999998</v>
      </c>
      <c r="M358" s="29" t="str">
        <f t="shared" si="11"/>
        <v>Average</v>
      </c>
    </row>
    <row r="359" spans="1:13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28">
        <f t="shared" si="10"/>
        <v>46326</v>
      </c>
      <c r="M359" s="29" t="str">
        <f t="shared" si="11"/>
        <v>Good</v>
      </c>
    </row>
    <row r="360" spans="1:13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28">
        <f t="shared" si="10"/>
        <v>343611</v>
      </c>
      <c r="M360" s="29" t="str">
        <f t="shared" si="11"/>
        <v>Excellent</v>
      </c>
    </row>
    <row r="361" spans="1:13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28">
        <f t="shared" si="10"/>
        <v>124400.22</v>
      </c>
      <c r="M361" s="29" t="str">
        <f t="shared" si="11"/>
        <v>Excellent</v>
      </c>
    </row>
    <row r="362" spans="1:13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28">
        <f t="shared" si="10"/>
        <v>3461.7999999999997</v>
      </c>
      <c r="M362" s="29" t="str">
        <f t="shared" si="11"/>
        <v>Average</v>
      </c>
    </row>
    <row r="363" spans="1:13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28">
        <f t="shared" si="10"/>
        <v>10474</v>
      </c>
      <c r="M363" s="29" t="str">
        <f t="shared" si="11"/>
        <v>Average</v>
      </c>
    </row>
    <row r="364" spans="1:13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28">
        <f t="shared" si="10"/>
        <v>317667</v>
      </c>
      <c r="M364" s="29" t="str">
        <f t="shared" si="11"/>
        <v>Excellent</v>
      </c>
    </row>
    <row r="365" spans="1:13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28">
        <f t="shared" si="10"/>
        <v>23718.399999999998</v>
      </c>
      <c r="M365" s="29" t="str">
        <f t="shared" si="11"/>
        <v>Good</v>
      </c>
    </row>
    <row r="366" spans="1:13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28">
        <f t="shared" si="10"/>
        <v>1881.3899999999999</v>
      </c>
      <c r="M366" s="29" t="str">
        <f t="shared" si="11"/>
        <v>Average</v>
      </c>
    </row>
    <row r="367" spans="1:13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28">
        <f t="shared" si="10"/>
        <v>797616</v>
      </c>
      <c r="M367" s="29" t="str">
        <f t="shared" si="11"/>
        <v>Excellent</v>
      </c>
    </row>
    <row r="368" spans="1:13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28">
        <f t="shared" si="10"/>
        <v>352.45</v>
      </c>
      <c r="M368" s="29" t="str">
        <f t="shared" si="11"/>
        <v>Average</v>
      </c>
    </row>
    <row r="369" spans="1:13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28">
        <f t="shared" si="10"/>
        <v>1035</v>
      </c>
      <c r="M369" s="29" t="str">
        <f t="shared" si="11"/>
        <v>Average</v>
      </c>
    </row>
    <row r="370" spans="1:13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28">
        <f t="shared" si="10"/>
        <v>105412</v>
      </c>
      <c r="M370" s="29" t="str">
        <f t="shared" si="11"/>
        <v>Excellent</v>
      </c>
    </row>
    <row r="371" spans="1:13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28">
        <f t="shared" si="10"/>
        <v>4074.33</v>
      </c>
      <c r="M371" s="29" t="str">
        <f t="shared" si="11"/>
        <v>Average</v>
      </c>
    </row>
    <row r="372" spans="1:13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28">
        <f t="shared" si="10"/>
        <v>17555.05</v>
      </c>
      <c r="M372" s="29" t="str">
        <f t="shared" si="11"/>
        <v>Average</v>
      </c>
    </row>
    <row r="373" spans="1:13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28">
        <f t="shared" si="10"/>
        <v>77363.100000000006</v>
      </c>
      <c r="M373" s="29" t="str">
        <f t="shared" si="11"/>
        <v>Very Good</v>
      </c>
    </row>
    <row r="374" spans="1:13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28">
        <f t="shared" si="10"/>
        <v>463962.4</v>
      </c>
      <c r="M374" s="29" t="str">
        <f t="shared" si="11"/>
        <v>Excellent</v>
      </c>
    </row>
    <row r="375" spans="1:13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28">
        <f t="shared" si="10"/>
        <v>776771.52</v>
      </c>
      <c r="M375" s="29" t="str">
        <f t="shared" si="11"/>
        <v>Excellent</v>
      </c>
    </row>
    <row r="376" spans="1:13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28">
        <f t="shared" si="10"/>
        <v>1135320</v>
      </c>
      <c r="M376" s="29" t="str">
        <f t="shared" si="11"/>
        <v>Excellent</v>
      </c>
    </row>
    <row r="377" spans="1:13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28">
        <f t="shared" si="10"/>
        <v>8151</v>
      </c>
      <c r="M377" s="29" t="str">
        <f t="shared" si="11"/>
        <v>Average</v>
      </c>
    </row>
    <row r="378" spans="1:13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28">
        <f t="shared" si="10"/>
        <v>14467.2</v>
      </c>
      <c r="M378" s="29" t="str">
        <f t="shared" si="11"/>
        <v>Average</v>
      </c>
    </row>
    <row r="379" spans="1:13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28">
        <f t="shared" si="10"/>
        <v>299547.59999999998</v>
      </c>
      <c r="M379" s="29" t="str">
        <f t="shared" si="11"/>
        <v>Excellent</v>
      </c>
    </row>
    <row r="380" spans="1:13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28">
        <f t="shared" si="10"/>
        <v>1271.5999999999999</v>
      </c>
      <c r="M380" s="29" t="str">
        <f t="shared" si="11"/>
        <v>Average</v>
      </c>
    </row>
    <row r="381" spans="1:13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28">
        <f t="shared" si="10"/>
        <v>1149.48</v>
      </c>
      <c r="M381" s="29" t="str">
        <f t="shared" si="11"/>
        <v>Average</v>
      </c>
    </row>
    <row r="382" spans="1:13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28">
        <f t="shared" si="10"/>
        <v>36671.599999999999</v>
      </c>
      <c r="M382" s="29" t="str">
        <f t="shared" si="11"/>
        <v>Good</v>
      </c>
    </row>
    <row r="383" spans="1:13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28">
        <f t="shared" si="10"/>
        <v>398178</v>
      </c>
      <c r="M383" s="29" t="str">
        <f t="shared" si="11"/>
        <v>Excellent</v>
      </c>
    </row>
    <row r="384" spans="1:13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28">
        <f t="shared" si="10"/>
        <v>4208.4000000000005</v>
      </c>
      <c r="M384" s="29" t="str">
        <f t="shared" si="11"/>
        <v>Average</v>
      </c>
    </row>
    <row r="385" spans="1:13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28">
        <f t="shared" si="10"/>
        <v>571740</v>
      </c>
      <c r="M385" s="29" t="str">
        <f t="shared" si="11"/>
        <v>Excellent</v>
      </c>
    </row>
    <row r="386" spans="1:13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28">
        <f t="shared" si="10"/>
        <v>662688</v>
      </c>
      <c r="M386" s="29" t="str">
        <f t="shared" si="11"/>
        <v>Excellent</v>
      </c>
    </row>
    <row r="387" spans="1:13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28">
        <f t="shared" ref="L387:L401" si="12">F387*G387*(1-H387/100)</f>
        <v>64201.95</v>
      </c>
      <c r="M387" s="29" t="str">
        <f t="shared" ref="M387:M401" si="13">IF(L387&gt;=100000,"Excellent",IF(AND(L387&gt;=50000,L387&lt;100000),"Very Good",IF(AND(L387&gt;=20000,L387&lt;50000),"Good","Average")))</f>
        <v>Very Good</v>
      </c>
    </row>
    <row r="388" spans="1:13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28">
        <f t="shared" si="12"/>
        <v>590581.75</v>
      </c>
      <c r="M388" s="29" t="str">
        <f t="shared" si="13"/>
        <v>Excellent</v>
      </c>
    </row>
    <row r="389" spans="1:13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28">
        <f t="shared" si="12"/>
        <v>123150.72</v>
      </c>
      <c r="M389" s="29" t="str">
        <f t="shared" si="13"/>
        <v>Excellent</v>
      </c>
    </row>
    <row r="390" spans="1:13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28">
        <f t="shared" si="12"/>
        <v>160683</v>
      </c>
      <c r="M390" s="29" t="str">
        <f t="shared" si="13"/>
        <v>Excellent</v>
      </c>
    </row>
    <row r="391" spans="1:13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28">
        <f t="shared" si="12"/>
        <v>69030</v>
      </c>
      <c r="M391" s="29" t="str">
        <f t="shared" si="13"/>
        <v>Very Good</v>
      </c>
    </row>
    <row r="392" spans="1:13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28">
        <f t="shared" si="12"/>
        <v>310032.5</v>
      </c>
      <c r="M392" s="29" t="str">
        <f t="shared" si="13"/>
        <v>Excellent</v>
      </c>
    </row>
    <row r="393" spans="1:13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28">
        <f t="shared" si="12"/>
        <v>295202.05</v>
      </c>
      <c r="M393" s="29" t="str">
        <f t="shared" si="13"/>
        <v>Excellent</v>
      </c>
    </row>
    <row r="394" spans="1:13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28">
        <f t="shared" si="12"/>
        <v>438571.95</v>
      </c>
      <c r="M394" s="29" t="str">
        <f t="shared" si="13"/>
        <v>Excellent</v>
      </c>
    </row>
    <row r="395" spans="1:13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28">
        <f t="shared" si="12"/>
        <v>1352.3999999999999</v>
      </c>
      <c r="M395" s="29" t="str">
        <f t="shared" si="13"/>
        <v>Average</v>
      </c>
    </row>
    <row r="396" spans="1:13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28">
        <f t="shared" si="12"/>
        <v>159150.6</v>
      </c>
      <c r="M396" s="29" t="str">
        <f t="shared" si="13"/>
        <v>Excellent</v>
      </c>
    </row>
    <row r="397" spans="1:13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28">
        <f t="shared" si="12"/>
        <v>367.2</v>
      </c>
      <c r="M397" s="29" t="str">
        <f t="shared" si="13"/>
        <v>Average</v>
      </c>
    </row>
    <row r="398" spans="1:13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28">
        <f t="shared" si="12"/>
        <v>8500.6</v>
      </c>
      <c r="M398" s="29" t="str">
        <f t="shared" si="13"/>
        <v>Average</v>
      </c>
    </row>
    <row r="399" spans="1:13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28">
        <f t="shared" si="12"/>
        <v>128016</v>
      </c>
      <c r="M399" s="29" t="str">
        <f t="shared" si="13"/>
        <v>Excellent</v>
      </c>
    </row>
    <row r="400" spans="1:13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28">
        <f t="shared" si="12"/>
        <v>1109.25</v>
      </c>
      <c r="M400" s="29" t="str">
        <f t="shared" si="13"/>
        <v>Average</v>
      </c>
    </row>
    <row r="401" spans="1:13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28">
        <f t="shared" si="12"/>
        <v>579141.54999999993</v>
      </c>
      <c r="M401" s="29" t="str">
        <f t="shared" si="13"/>
        <v>Excellent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9014-2F47-42BA-983D-9C609166BC25}">
  <dimension ref="A1:O403"/>
  <sheetViews>
    <sheetView topLeftCell="A353" workbookViewId="0">
      <selection activeCell="Q384" sqref="Q384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20.88671875" bestFit="1" customWidth="1"/>
    <col min="15" max="15" width="16.33203125" bestFit="1" customWidth="1"/>
  </cols>
  <sheetData>
    <row r="1" spans="1:15" ht="18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72</v>
      </c>
    </row>
    <row r="2" spans="1:15" ht="15.6" x14ac:dyDescent="0.3">
      <c r="A2" s="4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4" t="s">
        <v>15</v>
      </c>
      <c r="L2" s="29" t="str">
        <f>B2&amp;" - "&amp;E2</f>
        <v>Ritesh - Notebook</v>
      </c>
    </row>
    <row r="3" spans="1:15" ht="15.6" x14ac:dyDescent="0.3">
      <c r="A3" s="4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4" t="s">
        <v>20</v>
      </c>
      <c r="L3" s="29" t="str">
        <f t="shared" ref="L3:L66" si="0">B3&amp;" - "&amp;E3</f>
        <v>Pooja - Desk</v>
      </c>
    </row>
    <row r="4" spans="1:15" ht="15.6" x14ac:dyDescent="0.3">
      <c r="A4" s="4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4" t="s">
        <v>24</v>
      </c>
      <c r="L4" s="29" t="str">
        <f t="shared" si="0"/>
        <v>Meera - Table</v>
      </c>
    </row>
    <row r="5" spans="1:15" ht="18" x14ac:dyDescent="0.35">
      <c r="A5" s="4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4" t="s">
        <v>20</v>
      </c>
      <c r="L5" s="29" t="str">
        <f t="shared" si="0"/>
        <v>Pooja - Table</v>
      </c>
      <c r="O5" s="30"/>
    </row>
    <row r="6" spans="1:15" ht="18" x14ac:dyDescent="0.35">
      <c r="A6" s="4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4" t="s">
        <v>24</v>
      </c>
      <c r="L6" s="29" t="str">
        <f t="shared" si="0"/>
        <v>Vikram - Notebook</v>
      </c>
      <c r="O6" s="30"/>
    </row>
    <row r="7" spans="1:15" ht="15.6" x14ac:dyDescent="0.3">
      <c r="A7" s="4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4" t="s">
        <v>29</v>
      </c>
      <c r="L7" s="29" t="str">
        <f t="shared" si="0"/>
        <v>Arjun - Chair</v>
      </c>
    </row>
    <row r="8" spans="1:15" ht="15.6" x14ac:dyDescent="0.3">
      <c r="A8" s="4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4" t="s">
        <v>24</v>
      </c>
      <c r="L8" s="29" t="str">
        <f t="shared" si="0"/>
        <v>Meera - Notebook</v>
      </c>
    </row>
    <row r="9" spans="1:15" ht="15.6" x14ac:dyDescent="0.3">
      <c r="A9" s="4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4" t="s">
        <v>24</v>
      </c>
      <c r="L9" s="29" t="str">
        <f t="shared" si="0"/>
        <v>Neha - Chair</v>
      </c>
    </row>
    <row r="10" spans="1:15" ht="15.6" x14ac:dyDescent="0.3">
      <c r="A10" s="4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4" t="s">
        <v>24</v>
      </c>
      <c r="L10" s="29" t="str">
        <f t="shared" si="0"/>
        <v>Asha - Printer</v>
      </c>
    </row>
    <row r="11" spans="1:15" ht="15.6" x14ac:dyDescent="0.3">
      <c r="A11" s="4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4" t="s">
        <v>15</v>
      </c>
      <c r="L11" s="29" t="str">
        <f t="shared" si="0"/>
        <v>Ritesh - Stapler</v>
      </c>
    </row>
    <row r="12" spans="1:15" ht="15.6" x14ac:dyDescent="0.3">
      <c r="A12" s="4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4" t="s">
        <v>15</v>
      </c>
      <c r="L12" s="29" t="str">
        <f t="shared" si="0"/>
        <v>Ritesh - Pen Pack</v>
      </c>
    </row>
    <row r="13" spans="1:15" ht="15.6" x14ac:dyDescent="0.3">
      <c r="A13" s="4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4" t="s">
        <v>29</v>
      </c>
      <c r="L13" s="29" t="str">
        <f t="shared" si="0"/>
        <v>Vikram - Keyboard</v>
      </c>
    </row>
    <row r="14" spans="1:15" ht="15.6" x14ac:dyDescent="0.3">
      <c r="A14" s="4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4" t="s">
        <v>29</v>
      </c>
      <c r="L14" s="29" t="str">
        <f t="shared" si="0"/>
        <v>Pooja - Stapler</v>
      </c>
    </row>
    <row r="15" spans="1:15" ht="15.6" x14ac:dyDescent="0.3">
      <c r="A15" s="4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4" t="s">
        <v>29</v>
      </c>
      <c r="L15" s="29" t="str">
        <f t="shared" si="0"/>
        <v>Deepak - Headset</v>
      </c>
    </row>
    <row r="16" spans="1:15" ht="15.6" x14ac:dyDescent="0.3">
      <c r="A16" s="4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4" t="s">
        <v>20</v>
      </c>
      <c r="L16" s="29" t="str">
        <f t="shared" si="0"/>
        <v>Nisha - Bookshelf</v>
      </c>
    </row>
    <row r="17" spans="1:12" ht="15.6" x14ac:dyDescent="0.3">
      <c r="A17" s="4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4" t="s">
        <v>24</v>
      </c>
      <c r="L17" s="29" t="str">
        <f t="shared" si="0"/>
        <v>Asha - Monitor</v>
      </c>
    </row>
    <row r="18" spans="1:12" ht="15.6" x14ac:dyDescent="0.3">
      <c r="A18" s="4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4" t="s">
        <v>15</v>
      </c>
      <c r="L18" s="29" t="str">
        <f t="shared" si="0"/>
        <v>Kiran - Stapler</v>
      </c>
    </row>
    <row r="19" spans="1:12" ht="15.6" x14ac:dyDescent="0.3">
      <c r="A19" s="4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4" t="s">
        <v>29</v>
      </c>
      <c r="L19" s="29" t="str">
        <f t="shared" si="0"/>
        <v>Yash - Notebook</v>
      </c>
    </row>
    <row r="20" spans="1:12" ht="15.6" x14ac:dyDescent="0.3">
      <c r="A20" s="4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4" t="s">
        <v>20</v>
      </c>
      <c r="L20" s="29" t="str">
        <f t="shared" si="0"/>
        <v>Ritesh - Headset</v>
      </c>
    </row>
    <row r="21" spans="1:12" ht="15.6" x14ac:dyDescent="0.3">
      <c r="A21" s="4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4" t="s">
        <v>15</v>
      </c>
      <c r="L21" s="29" t="str">
        <f t="shared" si="0"/>
        <v>Kiran - Desk</v>
      </c>
    </row>
    <row r="22" spans="1:12" ht="15.6" x14ac:dyDescent="0.3">
      <c r="A22" s="4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4" t="s">
        <v>24</v>
      </c>
      <c r="L22" s="29" t="str">
        <f t="shared" si="0"/>
        <v>Nitin - Notebook</v>
      </c>
    </row>
    <row r="23" spans="1:12" ht="15.6" x14ac:dyDescent="0.3">
      <c r="A23" s="4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4" t="s">
        <v>29</v>
      </c>
      <c r="L23" s="29" t="str">
        <f t="shared" si="0"/>
        <v>Vikram - Monitor</v>
      </c>
    </row>
    <row r="24" spans="1:12" ht="15.6" x14ac:dyDescent="0.3">
      <c r="A24" s="4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4" t="s">
        <v>29</v>
      </c>
      <c r="L24" s="29" t="str">
        <f t="shared" si="0"/>
        <v>Deepak - Bookshelf</v>
      </c>
    </row>
    <row r="25" spans="1:12" ht="15.6" x14ac:dyDescent="0.3">
      <c r="A25" s="4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4" t="s">
        <v>15</v>
      </c>
      <c r="L25" s="29" t="str">
        <f t="shared" si="0"/>
        <v>Asha - Headset</v>
      </c>
    </row>
    <row r="26" spans="1:12" ht="15.6" x14ac:dyDescent="0.3">
      <c r="A26" s="4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4" t="s">
        <v>15</v>
      </c>
      <c r="L26" s="29" t="str">
        <f t="shared" si="0"/>
        <v>Meera - Desk</v>
      </c>
    </row>
    <row r="27" spans="1:12" ht="15.6" x14ac:dyDescent="0.3">
      <c r="A27" s="4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4" t="s">
        <v>29</v>
      </c>
      <c r="L27" s="29" t="str">
        <f t="shared" si="0"/>
        <v>Ajay - Marker</v>
      </c>
    </row>
    <row r="28" spans="1:12" ht="15.6" x14ac:dyDescent="0.3">
      <c r="A28" s="4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4" t="s">
        <v>51</v>
      </c>
      <c r="L28" s="29" t="str">
        <f t="shared" si="0"/>
        <v>Priya - Marker</v>
      </c>
    </row>
    <row r="29" spans="1:12" ht="15.6" x14ac:dyDescent="0.3">
      <c r="A29" s="4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4" t="s">
        <v>24</v>
      </c>
      <c r="L29" s="29" t="str">
        <f t="shared" si="0"/>
        <v>Yash - Stapler</v>
      </c>
    </row>
    <row r="30" spans="1:12" ht="15.6" x14ac:dyDescent="0.3">
      <c r="A30" s="4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4" t="s">
        <v>24</v>
      </c>
      <c r="L30" s="29" t="str">
        <f t="shared" si="0"/>
        <v>Neha - Stapler</v>
      </c>
    </row>
    <row r="31" spans="1:12" ht="15.6" x14ac:dyDescent="0.3">
      <c r="A31" s="4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4" t="s">
        <v>15</v>
      </c>
      <c r="L31" s="29" t="str">
        <f t="shared" si="0"/>
        <v>Komal - Diary</v>
      </c>
    </row>
    <row r="32" spans="1:12" ht="15.6" x14ac:dyDescent="0.3">
      <c r="A32" s="4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4" t="s">
        <v>20</v>
      </c>
      <c r="L32" s="29" t="str">
        <f t="shared" si="0"/>
        <v>Manoj - Diary</v>
      </c>
    </row>
    <row r="33" spans="1:12" ht="15.6" x14ac:dyDescent="0.3">
      <c r="A33" s="4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4" t="s">
        <v>29</v>
      </c>
      <c r="L33" s="29" t="str">
        <f t="shared" si="0"/>
        <v>Manoj - Keyboard</v>
      </c>
    </row>
    <row r="34" spans="1:12" ht="15.6" x14ac:dyDescent="0.3">
      <c r="A34" s="4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4" t="s">
        <v>29</v>
      </c>
      <c r="L34" s="29" t="str">
        <f t="shared" si="0"/>
        <v>Ritesh - Desk</v>
      </c>
    </row>
    <row r="35" spans="1:12" ht="15.6" x14ac:dyDescent="0.3">
      <c r="A35" s="4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4" t="s">
        <v>51</v>
      </c>
      <c r="L35" s="29" t="str">
        <f t="shared" si="0"/>
        <v>Sneha - Chair</v>
      </c>
    </row>
    <row r="36" spans="1:12" ht="15.6" x14ac:dyDescent="0.3">
      <c r="A36" s="4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4" t="s">
        <v>24</v>
      </c>
      <c r="L36" s="29" t="str">
        <f t="shared" si="0"/>
        <v>Ajay - Cabinet</v>
      </c>
    </row>
    <row r="37" spans="1:12" ht="15.6" x14ac:dyDescent="0.3">
      <c r="A37" s="4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4" t="s">
        <v>24</v>
      </c>
      <c r="L37" s="29" t="str">
        <f t="shared" si="0"/>
        <v>Ritesh - Stapler</v>
      </c>
    </row>
    <row r="38" spans="1:12" ht="15.6" x14ac:dyDescent="0.3">
      <c r="A38" s="4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4" t="s">
        <v>24</v>
      </c>
      <c r="L38" s="29" t="str">
        <f t="shared" si="0"/>
        <v>Kiran - Cabinet</v>
      </c>
    </row>
    <row r="39" spans="1:12" ht="15.6" x14ac:dyDescent="0.3">
      <c r="A39" s="4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4" t="s">
        <v>51</v>
      </c>
      <c r="L39" s="29" t="str">
        <f t="shared" si="0"/>
        <v>Sneha - Stapler</v>
      </c>
    </row>
    <row r="40" spans="1:12" ht="15.6" x14ac:dyDescent="0.3">
      <c r="A40" s="4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4" t="s">
        <v>20</v>
      </c>
      <c r="L40" s="29" t="str">
        <f t="shared" si="0"/>
        <v>Nitin - Monitor</v>
      </c>
    </row>
    <row r="41" spans="1:12" ht="15.6" x14ac:dyDescent="0.3">
      <c r="A41" s="4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4" t="s">
        <v>24</v>
      </c>
      <c r="L41" s="29" t="str">
        <f t="shared" si="0"/>
        <v>Ajay - Chair</v>
      </c>
    </row>
    <row r="42" spans="1:12" ht="15.6" x14ac:dyDescent="0.3">
      <c r="A42" s="4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4" t="s">
        <v>15</v>
      </c>
      <c r="L42" s="29" t="str">
        <f t="shared" si="0"/>
        <v>Manoj - Marker</v>
      </c>
    </row>
    <row r="43" spans="1:12" ht="15.6" x14ac:dyDescent="0.3">
      <c r="A43" s="4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4" t="s">
        <v>29</v>
      </c>
      <c r="L43" s="29" t="str">
        <f t="shared" si="0"/>
        <v>Kiran - Diary</v>
      </c>
    </row>
    <row r="44" spans="1:12" ht="15.6" x14ac:dyDescent="0.3">
      <c r="A44" s="4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4" t="s">
        <v>29</v>
      </c>
      <c r="L44" s="29" t="str">
        <f t="shared" si="0"/>
        <v>Ajay - Printer</v>
      </c>
    </row>
    <row r="45" spans="1:12" ht="15.6" x14ac:dyDescent="0.3">
      <c r="A45" s="4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4" t="s">
        <v>20</v>
      </c>
      <c r="L45" s="29" t="str">
        <f t="shared" si="0"/>
        <v>Nitin - Desk</v>
      </c>
    </row>
    <row r="46" spans="1:12" ht="15.6" x14ac:dyDescent="0.3">
      <c r="A46" s="4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4" t="s">
        <v>29</v>
      </c>
      <c r="L46" s="29" t="str">
        <f t="shared" si="0"/>
        <v>Asha - Printer</v>
      </c>
    </row>
    <row r="47" spans="1:12" ht="15.6" x14ac:dyDescent="0.3">
      <c r="A47" s="4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4" t="s">
        <v>29</v>
      </c>
      <c r="L47" s="29" t="str">
        <f t="shared" si="0"/>
        <v>Sara - Monitor</v>
      </c>
    </row>
    <row r="48" spans="1:12" ht="15.6" x14ac:dyDescent="0.3">
      <c r="A48" s="4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4" t="s">
        <v>15</v>
      </c>
      <c r="L48" s="29" t="str">
        <f t="shared" si="0"/>
        <v>Rohan - Cabinet</v>
      </c>
    </row>
    <row r="49" spans="1:12" ht="15.6" x14ac:dyDescent="0.3">
      <c r="A49" s="4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4" t="s">
        <v>24</v>
      </c>
      <c r="L49" s="29" t="str">
        <f t="shared" si="0"/>
        <v>Anita - Laptop</v>
      </c>
    </row>
    <row r="50" spans="1:12" ht="15.6" x14ac:dyDescent="0.3">
      <c r="A50" s="4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4" t="s">
        <v>24</v>
      </c>
      <c r="L50" s="29" t="str">
        <f t="shared" si="0"/>
        <v>Komal - Monitor</v>
      </c>
    </row>
    <row r="51" spans="1:12" ht="15.6" x14ac:dyDescent="0.3">
      <c r="A51" s="4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4" t="s">
        <v>29</v>
      </c>
      <c r="L51" s="29" t="str">
        <f t="shared" si="0"/>
        <v>Asha - Diary</v>
      </c>
    </row>
    <row r="52" spans="1:12" ht="15.6" x14ac:dyDescent="0.3">
      <c r="A52" s="4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4" t="s">
        <v>15</v>
      </c>
      <c r="L52" s="29" t="str">
        <f t="shared" si="0"/>
        <v>Rohan - Stapler</v>
      </c>
    </row>
    <row r="53" spans="1:12" ht="15.6" x14ac:dyDescent="0.3">
      <c r="A53" s="4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4" t="s">
        <v>20</v>
      </c>
      <c r="L53" s="29" t="str">
        <f t="shared" si="0"/>
        <v>Sneha - Notebook</v>
      </c>
    </row>
    <row r="54" spans="1:12" ht="15.6" x14ac:dyDescent="0.3">
      <c r="A54" s="4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4" t="s">
        <v>24</v>
      </c>
      <c r="L54" s="29" t="str">
        <f t="shared" si="0"/>
        <v>Pooja - Chair</v>
      </c>
    </row>
    <row r="55" spans="1:12" ht="15.6" x14ac:dyDescent="0.3">
      <c r="A55" s="4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4" t="s">
        <v>51</v>
      </c>
      <c r="L55" s="29" t="str">
        <f t="shared" si="0"/>
        <v>Vikram - Table</v>
      </c>
    </row>
    <row r="56" spans="1:12" ht="15.6" x14ac:dyDescent="0.3">
      <c r="A56" s="4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4" t="s">
        <v>15</v>
      </c>
      <c r="L56" s="29" t="str">
        <f t="shared" si="0"/>
        <v>Nitin - Pen Pack</v>
      </c>
    </row>
    <row r="57" spans="1:12" ht="15.6" x14ac:dyDescent="0.3">
      <c r="A57" s="4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4" t="s">
        <v>24</v>
      </c>
      <c r="L57" s="29" t="str">
        <f t="shared" si="0"/>
        <v>Ritesh - Desk</v>
      </c>
    </row>
    <row r="58" spans="1:12" ht="15.6" x14ac:dyDescent="0.3">
      <c r="A58" s="4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4" t="s">
        <v>51</v>
      </c>
      <c r="L58" s="29" t="str">
        <f t="shared" si="0"/>
        <v>Anita - Chair</v>
      </c>
    </row>
    <row r="59" spans="1:12" ht="15.6" x14ac:dyDescent="0.3">
      <c r="A59" s="4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4" t="s">
        <v>24</v>
      </c>
      <c r="L59" s="29" t="str">
        <f t="shared" si="0"/>
        <v>Komal - Chair</v>
      </c>
    </row>
    <row r="60" spans="1:12" ht="15.6" x14ac:dyDescent="0.3">
      <c r="A60" s="4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4" t="s">
        <v>51</v>
      </c>
      <c r="L60" s="29" t="str">
        <f t="shared" si="0"/>
        <v>Manoj - Marker</v>
      </c>
    </row>
    <row r="61" spans="1:12" ht="15.6" x14ac:dyDescent="0.3">
      <c r="A61" s="4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4" t="s">
        <v>20</v>
      </c>
      <c r="L61" s="29" t="str">
        <f t="shared" si="0"/>
        <v>Ajay - Bookshelf</v>
      </c>
    </row>
    <row r="62" spans="1:12" ht="15.6" x14ac:dyDescent="0.3">
      <c r="A62" s="4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4" t="s">
        <v>20</v>
      </c>
      <c r="L62" s="29" t="str">
        <f t="shared" si="0"/>
        <v>Sara - Headset</v>
      </c>
    </row>
    <row r="63" spans="1:12" ht="15.6" x14ac:dyDescent="0.3">
      <c r="A63" s="4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4" t="s">
        <v>51</v>
      </c>
      <c r="L63" s="29" t="str">
        <f t="shared" si="0"/>
        <v>Deepak - Table</v>
      </c>
    </row>
    <row r="64" spans="1:12" ht="15.6" x14ac:dyDescent="0.3">
      <c r="A64" s="4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4" t="s">
        <v>15</v>
      </c>
      <c r="L64" s="29" t="str">
        <f t="shared" si="0"/>
        <v>Manoj - Monitor</v>
      </c>
    </row>
    <row r="65" spans="1:12" ht="15.6" x14ac:dyDescent="0.3">
      <c r="A65" s="4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4" t="s">
        <v>29</v>
      </c>
      <c r="L65" s="29" t="str">
        <f t="shared" si="0"/>
        <v>Vikram - Marker</v>
      </c>
    </row>
    <row r="66" spans="1:12" ht="15.6" x14ac:dyDescent="0.3">
      <c r="A66" s="4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4" t="s">
        <v>51</v>
      </c>
      <c r="L66" s="29" t="str">
        <f t="shared" si="0"/>
        <v>Nisha - Bookshelf</v>
      </c>
    </row>
    <row r="67" spans="1:12" ht="15.6" x14ac:dyDescent="0.3">
      <c r="A67" s="4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4" t="s">
        <v>15</v>
      </c>
      <c r="L67" s="29" t="str">
        <f t="shared" ref="L67:L130" si="1">B67&amp;" - "&amp;E67</f>
        <v>Yash - Bookshelf</v>
      </c>
    </row>
    <row r="68" spans="1:12" ht="15.6" x14ac:dyDescent="0.3">
      <c r="A68" s="4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4" t="s">
        <v>29</v>
      </c>
      <c r="L68" s="29" t="str">
        <f t="shared" si="1"/>
        <v>Asha - Cabinet</v>
      </c>
    </row>
    <row r="69" spans="1:12" ht="15.6" x14ac:dyDescent="0.3">
      <c r="A69" s="4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4" t="s">
        <v>29</v>
      </c>
      <c r="L69" s="29" t="str">
        <f t="shared" si="1"/>
        <v>Komal - Laptop</v>
      </c>
    </row>
    <row r="70" spans="1:12" ht="15.6" x14ac:dyDescent="0.3">
      <c r="A70" s="4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4" t="s">
        <v>15</v>
      </c>
      <c r="L70" s="29" t="str">
        <f t="shared" si="1"/>
        <v>Komal - Chair</v>
      </c>
    </row>
    <row r="71" spans="1:12" ht="15.6" x14ac:dyDescent="0.3">
      <c r="A71" s="4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4" t="s">
        <v>29</v>
      </c>
      <c r="L71" s="29" t="str">
        <f t="shared" si="1"/>
        <v>Komal - Stapler</v>
      </c>
    </row>
    <row r="72" spans="1:12" ht="15.6" x14ac:dyDescent="0.3">
      <c r="A72" s="4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4" t="s">
        <v>20</v>
      </c>
      <c r="L72" s="29" t="str">
        <f t="shared" si="1"/>
        <v>Anita - Mouse</v>
      </c>
    </row>
    <row r="73" spans="1:12" ht="15.6" x14ac:dyDescent="0.3">
      <c r="A73" s="4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4" t="s">
        <v>24</v>
      </c>
      <c r="L73" s="29" t="str">
        <f t="shared" si="1"/>
        <v>Pooja - Mouse</v>
      </c>
    </row>
    <row r="74" spans="1:12" ht="15.6" x14ac:dyDescent="0.3">
      <c r="A74" s="4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4" t="s">
        <v>51</v>
      </c>
      <c r="L74" s="29" t="str">
        <f t="shared" si="1"/>
        <v>Rohan - Cabinet</v>
      </c>
    </row>
    <row r="75" spans="1:12" ht="15.6" x14ac:dyDescent="0.3">
      <c r="A75" s="4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4" t="s">
        <v>29</v>
      </c>
      <c r="L75" s="29" t="str">
        <f t="shared" si="1"/>
        <v>Vikram - Marker</v>
      </c>
    </row>
    <row r="76" spans="1:12" ht="15.6" x14ac:dyDescent="0.3">
      <c r="A76" s="4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4" t="s">
        <v>51</v>
      </c>
      <c r="L76" s="29" t="str">
        <f t="shared" si="1"/>
        <v>Nisha - Mouse</v>
      </c>
    </row>
    <row r="77" spans="1:12" ht="15.6" x14ac:dyDescent="0.3">
      <c r="A77" s="4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4" t="s">
        <v>29</v>
      </c>
      <c r="L77" s="29" t="str">
        <f t="shared" si="1"/>
        <v>Priya - Printer</v>
      </c>
    </row>
    <row r="78" spans="1:12" ht="15.6" x14ac:dyDescent="0.3">
      <c r="A78" s="4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4" t="s">
        <v>51</v>
      </c>
      <c r="L78" s="29" t="str">
        <f t="shared" si="1"/>
        <v>Sneha - Notebook</v>
      </c>
    </row>
    <row r="79" spans="1:12" ht="15.6" x14ac:dyDescent="0.3">
      <c r="A79" s="4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4" t="s">
        <v>29</v>
      </c>
      <c r="L79" s="29" t="str">
        <f t="shared" si="1"/>
        <v>Komal - Keyboard</v>
      </c>
    </row>
    <row r="80" spans="1:12" ht="15.6" x14ac:dyDescent="0.3">
      <c r="A80" s="4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4" t="s">
        <v>51</v>
      </c>
      <c r="L80" s="29" t="str">
        <f t="shared" si="1"/>
        <v>Vikram - Headset</v>
      </c>
    </row>
    <row r="81" spans="1:12" ht="15.6" x14ac:dyDescent="0.3">
      <c r="A81" s="4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4" t="s">
        <v>24</v>
      </c>
      <c r="L81" s="29" t="str">
        <f t="shared" si="1"/>
        <v>Meera - Headset</v>
      </c>
    </row>
    <row r="82" spans="1:12" ht="15.6" x14ac:dyDescent="0.3">
      <c r="A82" s="4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4" t="s">
        <v>51</v>
      </c>
      <c r="L82" s="29" t="str">
        <f t="shared" si="1"/>
        <v>Yash - Printer</v>
      </c>
    </row>
    <row r="83" spans="1:12" ht="15.6" x14ac:dyDescent="0.3">
      <c r="A83" s="4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4" t="s">
        <v>51</v>
      </c>
      <c r="L83" s="29" t="str">
        <f t="shared" si="1"/>
        <v>Meera - Notebook</v>
      </c>
    </row>
    <row r="84" spans="1:12" ht="15.6" x14ac:dyDescent="0.3">
      <c r="A84" s="4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4" t="s">
        <v>15</v>
      </c>
      <c r="L84" s="29" t="str">
        <f t="shared" si="1"/>
        <v>Sneha - Diary</v>
      </c>
    </row>
    <row r="85" spans="1:12" ht="15.6" x14ac:dyDescent="0.3">
      <c r="A85" s="4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4" t="s">
        <v>20</v>
      </c>
      <c r="L85" s="29" t="str">
        <f t="shared" si="1"/>
        <v>Ajay - Chair</v>
      </c>
    </row>
    <row r="86" spans="1:12" ht="15.6" x14ac:dyDescent="0.3">
      <c r="A86" s="4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4" t="s">
        <v>24</v>
      </c>
      <c r="L86" s="29" t="str">
        <f t="shared" si="1"/>
        <v>Asha - Laptop</v>
      </c>
    </row>
    <row r="87" spans="1:12" ht="15.6" x14ac:dyDescent="0.3">
      <c r="A87" s="4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4" t="s">
        <v>24</v>
      </c>
      <c r="L87" s="29" t="str">
        <f t="shared" si="1"/>
        <v>Asha - Diary</v>
      </c>
    </row>
    <row r="88" spans="1:12" ht="15.6" x14ac:dyDescent="0.3">
      <c r="A88" s="4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4" t="s">
        <v>24</v>
      </c>
      <c r="L88" s="29" t="str">
        <f t="shared" si="1"/>
        <v>Ritesh - Pen Pack</v>
      </c>
    </row>
    <row r="89" spans="1:12" ht="15.6" x14ac:dyDescent="0.3">
      <c r="A89" s="4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4" t="s">
        <v>20</v>
      </c>
      <c r="L89" s="29" t="str">
        <f t="shared" si="1"/>
        <v>Deepak - Headset</v>
      </c>
    </row>
    <row r="90" spans="1:12" ht="15.6" x14ac:dyDescent="0.3">
      <c r="A90" s="4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4" t="s">
        <v>24</v>
      </c>
      <c r="L90" s="29" t="str">
        <f t="shared" si="1"/>
        <v>Kiran - Printer</v>
      </c>
    </row>
    <row r="91" spans="1:12" ht="15.6" x14ac:dyDescent="0.3">
      <c r="A91" s="4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4" t="s">
        <v>24</v>
      </c>
      <c r="L91" s="29" t="str">
        <f t="shared" si="1"/>
        <v>Ajay - Monitor</v>
      </c>
    </row>
    <row r="92" spans="1:12" ht="15.6" x14ac:dyDescent="0.3">
      <c r="A92" s="4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4" t="s">
        <v>15</v>
      </c>
      <c r="L92" s="29" t="str">
        <f t="shared" si="1"/>
        <v>Sneha - Diary</v>
      </c>
    </row>
    <row r="93" spans="1:12" ht="15.6" x14ac:dyDescent="0.3">
      <c r="A93" s="4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4" t="s">
        <v>29</v>
      </c>
      <c r="L93" s="29" t="str">
        <f t="shared" si="1"/>
        <v>Meera - Headset</v>
      </c>
    </row>
    <row r="94" spans="1:12" ht="15.6" x14ac:dyDescent="0.3">
      <c r="A94" s="4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4" t="s">
        <v>51</v>
      </c>
      <c r="L94" s="29" t="str">
        <f t="shared" si="1"/>
        <v>Yash - Table</v>
      </c>
    </row>
    <row r="95" spans="1:12" ht="15.6" x14ac:dyDescent="0.3">
      <c r="A95" s="4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4" t="s">
        <v>29</v>
      </c>
      <c r="L95" s="29" t="str">
        <f t="shared" si="1"/>
        <v>Yash - Mouse</v>
      </c>
    </row>
    <row r="96" spans="1:12" ht="15.6" x14ac:dyDescent="0.3">
      <c r="A96" s="4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4" t="s">
        <v>20</v>
      </c>
      <c r="L96" s="29" t="str">
        <f t="shared" si="1"/>
        <v>Yash - Headset</v>
      </c>
    </row>
    <row r="97" spans="1:12" ht="15.6" x14ac:dyDescent="0.3">
      <c r="A97" s="4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4" t="s">
        <v>20</v>
      </c>
      <c r="L97" s="29" t="str">
        <f t="shared" si="1"/>
        <v>Ajay - Table</v>
      </c>
    </row>
    <row r="98" spans="1:12" ht="15.6" x14ac:dyDescent="0.3">
      <c r="A98" s="4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4" t="s">
        <v>24</v>
      </c>
      <c r="L98" s="29" t="str">
        <f t="shared" si="1"/>
        <v>Komal - Mouse</v>
      </c>
    </row>
    <row r="99" spans="1:12" ht="15.6" x14ac:dyDescent="0.3">
      <c r="A99" s="4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4" t="s">
        <v>51</v>
      </c>
      <c r="L99" s="29" t="str">
        <f t="shared" si="1"/>
        <v>Vikram - Diary</v>
      </c>
    </row>
    <row r="100" spans="1:12" ht="15.6" x14ac:dyDescent="0.3">
      <c r="A100" s="4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4" t="s">
        <v>15</v>
      </c>
      <c r="L100" s="29" t="str">
        <f t="shared" si="1"/>
        <v>Vikram - Desk</v>
      </c>
    </row>
    <row r="101" spans="1:12" ht="15.6" x14ac:dyDescent="0.3">
      <c r="A101" s="4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4" t="s">
        <v>51</v>
      </c>
      <c r="L101" s="29" t="str">
        <f t="shared" si="1"/>
        <v>Ritesh - Notebook</v>
      </c>
    </row>
    <row r="102" spans="1:12" ht="15.6" x14ac:dyDescent="0.3">
      <c r="A102" s="4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4" t="s">
        <v>24</v>
      </c>
      <c r="L102" s="29" t="str">
        <f t="shared" si="1"/>
        <v>Arjun - Mouse</v>
      </c>
    </row>
    <row r="103" spans="1:12" ht="15.6" x14ac:dyDescent="0.3">
      <c r="A103" s="4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4" t="s">
        <v>51</v>
      </c>
      <c r="L103" s="29" t="str">
        <f t="shared" si="1"/>
        <v>Manoj - Monitor</v>
      </c>
    </row>
    <row r="104" spans="1:12" ht="15.6" x14ac:dyDescent="0.3">
      <c r="A104" s="4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4" t="s">
        <v>29</v>
      </c>
      <c r="L104" s="29" t="str">
        <f t="shared" si="1"/>
        <v>Pooja - Table</v>
      </c>
    </row>
    <row r="105" spans="1:12" ht="15.6" x14ac:dyDescent="0.3">
      <c r="A105" s="4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4" t="s">
        <v>29</v>
      </c>
      <c r="L105" s="29" t="str">
        <f t="shared" si="1"/>
        <v>Pooja - Desk</v>
      </c>
    </row>
    <row r="106" spans="1:12" ht="15.6" x14ac:dyDescent="0.3">
      <c r="A106" s="4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4" t="s">
        <v>51</v>
      </c>
      <c r="L106" s="29" t="str">
        <f t="shared" si="1"/>
        <v>Anita - Marker</v>
      </c>
    </row>
    <row r="107" spans="1:12" ht="15.6" x14ac:dyDescent="0.3">
      <c r="A107" s="4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4" t="s">
        <v>29</v>
      </c>
      <c r="L107" s="29" t="str">
        <f t="shared" si="1"/>
        <v>Arjun - Table</v>
      </c>
    </row>
    <row r="108" spans="1:12" ht="15.6" x14ac:dyDescent="0.3">
      <c r="A108" s="4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4" t="s">
        <v>15</v>
      </c>
      <c r="L108" s="29" t="str">
        <f t="shared" si="1"/>
        <v>Komal - Laptop</v>
      </c>
    </row>
    <row r="109" spans="1:12" ht="15.6" x14ac:dyDescent="0.3">
      <c r="A109" s="4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4" t="s">
        <v>20</v>
      </c>
      <c r="L109" s="29" t="str">
        <f t="shared" si="1"/>
        <v>Nisha - Chair</v>
      </c>
    </row>
    <row r="110" spans="1:12" ht="15.6" x14ac:dyDescent="0.3">
      <c r="A110" s="4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4" t="s">
        <v>20</v>
      </c>
      <c r="L110" s="29" t="str">
        <f t="shared" si="1"/>
        <v>Meera - Bookshelf</v>
      </c>
    </row>
    <row r="111" spans="1:12" ht="15.6" x14ac:dyDescent="0.3">
      <c r="A111" s="4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4" t="s">
        <v>29</v>
      </c>
      <c r="L111" s="29" t="str">
        <f t="shared" si="1"/>
        <v>Ajay - Table</v>
      </c>
    </row>
    <row r="112" spans="1:12" ht="15.6" x14ac:dyDescent="0.3">
      <c r="A112" s="4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4" t="s">
        <v>29</v>
      </c>
      <c r="L112" s="29" t="str">
        <f t="shared" si="1"/>
        <v>Yash - Printer</v>
      </c>
    </row>
    <row r="113" spans="1:12" ht="15.6" x14ac:dyDescent="0.3">
      <c r="A113" s="4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4" t="s">
        <v>15</v>
      </c>
      <c r="L113" s="29" t="str">
        <f t="shared" si="1"/>
        <v>Meera - Bookshelf</v>
      </c>
    </row>
    <row r="114" spans="1:12" ht="15.6" x14ac:dyDescent="0.3">
      <c r="A114" s="4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4" t="s">
        <v>24</v>
      </c>
      <c r="L114" s="29" t="str">
        <f t="shared" si="1"/>
        <v>Vikram - Cabinet</v>
      </c>
    </row>
    <row r="115" spans="1:12" ht="15.6" x14ac:dyDescent="0.3">
      <c r="A115" s="4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4" t="s">
        <v>15</v>
      </c>
      <c r="L115" s="29" t="str">
        <f t="shared" si="1"/>
        <v>Pooja - Marker</v>
      </c>
    </row>
    <row r="116" spans="1:12" ht="15.6" x14ac:dyDescent="0.3">
      <c r="A116" s="4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4" t="s">
        <v>29</v>
      </c>
      <c r="L116" s="29" t="str">
        <f t="shared" si="1"/>
        <v>Anita - Marker</v>
      </c>
    </row>
    <row r="117" spans="1:12" ht="15.6" x14ac:dyDescent="0.3">
      <c r="A117" s="4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4" t="s">
        <v>15</v>
      </c>
      <c r="L117" s="29" t="str">
        <f t="shared" si="1"/>
        <v>Pooja - Cabinet</v>
      </c>
    </row>
    <row r="118" spans="1:12" ht="15.6" x14ac:dyDescent="0.3">
      <c r="A118" s="4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4" t="s">
        <v>29</v>
      </c>
      <c r="L118" s="29" t="str">
        <f t="shared" si="1"/>
        <v>Sneha - Keyboard</v>
      </c>
    </row>
    <row r="119" spans="1:12" ht="15.6" x14ac:dyDescent="0.3">
      <c r="A119" s="4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4" t="s">
        <v>29</v>
      </c>
      <c r="L119" s="29" t="str">
        <f t="shared" si="1"/>
        <v>Meera - Table</v>
      </c>
    </row>
    <row r="120" spans="1:12" ht="15.6" x14ac:dyDescent="0.3">
      <c r="A120" s="4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4" t="s">
        <v>51</v>
      </c>
      <c r="L120" s="29" t="str">
        <f t="shared" si="1"/>
        <v>Neha - Chair</v>
      </c>
    </row>
    <row r="121" spans="1:12" ht="15.6" x14ac:dyDescent="0.3">
      <c r="A121" s="4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4" t="s">
        <v>51</v>
      </c>
      <c r="L121" s="29" t="str">
        <f t="shared" si="1"/>
        <v>Asha - Stapler</v>
      </c>
    </row>
    <row r="122" spans="1:12" ht="15.6" x14ac:dyDescent="0.3">
      <c r="A122" s="4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4" t="s">
        <v>29</v>
      </c>
      <c r="L122" s="29" t="str">
        <f t="shared" si="1"/>
        <v>Priya - Keyboard</v>
      </c>
    </row>
    <row r="123" spans="1:12" ht="15.6" x14ac:dyDescent="0.3">
      <c r="A123" s="4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4" t="s">
        <v>29</v>
      </c>
      <c r="L123" s="29" t="str">
        <f t="shared" si="1"/>
        <v>Deepak - Keyboard</v>
      </c>
    </row>
    <row r="124" spans="1:12" ht="15.6" x14ac:dyDescent="0.3">
      <c r="A124" s="4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4" t="s">
        <v>29</v>
      </c>
      <c r="L124" s="29" t="str">
        <f t="shared" si="1"/>
        <v>Asha - Monitor</v>
      </c>
    </row>
    <row r="125" spans="1:12" ht="15.6" x14ac:dyDescent="0.3">
      <c r="A125" s="4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4" t="s">
        <v>51</v>
      </c>
      <c r="L125" s="29" t="str">
        <f t="shared" si="1"/>
        <v>Arjun - Cabinet</v>
      </c>
    </row>
    <row r="126" spans="1:12" ht="15.6" x14ac:dyDescent="0.3">
      <c r="A126" s="4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4" t="s">
        <v>24</v>
      </c>
      <c r="L126" s="29" t="str">
        <f t="shared" si="1"/>
        <v>Ajay - Notebook</v>
      </c>
    </row>
    <row r="127" spans="1:12" ht="15.6" x14ac:dyDescent="0.3">
      <c r="A127" s="4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4" t="s">
        <v>29</v>
      </c>
      <c r="L127" s="29" t="str">
        <f t="shared" si="1"/>
        <v>Kiran - Keyboard</v>
      </c>
    </row>
    <row r="128" spans="1:12" ht="15.6" x14ac:dyDescent="0.3">
      <c r="A128" s="4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4" t="s">
        <v>29</v>
      </c>
      <c r="L128" s="29" t="str">
        <f t="shared" si="1"/>
        <v>Vikram - Chair</v>
      </c>
    </row>
    <row r="129" spans="1:12" ht="15.6" x14ac:dyDescent="0.3">
      <c r="A129" s="4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4" t="s">
        <v>29</v>
      </c>
      <c r="L129" s="29" t="str">
        <f t="shared" si="1"/>
        <v>Neha - Mouse</v>
      </c>
    </row>
    <row r="130" spans="1:12" ht="15.6" x14ac:dyDescent="0.3">
      <c r="A130" s="4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4" t="s">
        <v>29</v>
      </c>
      <c r="L130" s="29" t="str">
        <f t="shared" si="1"/>
        <v>Rohan - Marker</v>
      </c>
    </row>
    <row r="131" spans="1:12" ht="15.6" x14ac:dyDescent="0.3">
      <c r="A131" s="4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4" t="s">
        <v>24</v>
      </c>
      <c r="L131" s="29" t="str">
        <f t="shared" ref="L131:L194" si="2">B131&amp;" - "&amp;E131</f>
        <v>Nitin - Notebook</v>
      </c>
    </row>
    <row r="132" spans="1:12" ht="15.6" x14ac:dyDescent="0.3">
      <c r="A132" s="4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4" t="s">
        <v>51</v>
      </c>
      <c r="L132" s="29" t="str">
        <f t="shared" si="2"/>
        <v>Meera - Table</v>
      </c>
    </row>
    <row r="133" spans="1:12" ht="15.6" x14ac:dyDescent="0.3">
      <c r="A133" s="4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4" t="s">
        <v>24</v>
      </c>
      <c r="L133" s="29" t="str">
        <f t="shared" si="2"/>
        <v>Ritesh - Marker</v>
      </c>
    </row>
    <row r="134" spans="1:12" ht="15.6" x14ac:dyDescent="0.3">
      <c r="A134" s="4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4" t="s">
        <v>51</v>
      </c>
      <c r="L134" s="29" t="str">
        <f t="shared" si="2"/>
        <v>Ritesh - Cabinet</v>
      </c>
    </row>
    <row r="135" spans="1:12" ht="15.6" x14ac:dyDescent="0.3">
      <c r="A135" s="4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4" t="s">
        <v>24</v>
      </c>
      <c r="L135" s="29" t="str">
        <f t="shared" si="2"/>
        <v>Sara - Mouse</v>
      </c>
    </row>
    <row r="136" spans="1:12" ht="15.6" x14ac:dyDescent="0.3">
      <c r="A136" s="4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4" t="s">
        <v>15</v>
      </c>
      <c r="L136" s="29" t="str">
        <f t="shared" si="2"/>
        <v>Ajay - Keyboard</v>
      </c>
    </row>
    <row r="137" spans="1:12" ht="15.6" x14ac:dyDescent="0.3">
      <c r="A137" s="4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4" t="s">
        <v>24</v>
      </c>
      <c r="L137" s="29" t="str">
        <f t="shared" si="2"/>
        <v>Arjun - Cabinet</v>
      </c>
    </row>
    <row r="138" spans="1:12" ht="15.6" x14ac:dyDescent="0.3">
      <c r="A138" s="4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4" t="s">
        <v>29</v>
      </c>
      <c r="L138" s="29" t="str">
        <f t="shared" si="2"/>
        <v>Komal - Pen Pack</v>
      </c>
    </row>
    <row r="139" spans="1:12" ht="15.6" x14ac:dyDescent="0.3">
      <c r="A139" s="4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4" t="s">
        <v>51</v>
      </c>
      <c r="L139" s="29" t="str">
        <f t="shared" si="2"/>
        <v>Sneha - Desk</v>
      </c>
    </row>
    <row r="140" spans="1:12" ht="15.6" x14ac:dyDescent="0.3">
      <c r="A140" s="4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4" t="s">
        <v>15</v>
      </c>
      <c r="L140" s="29" t="str">
        <f t="shared" si="2"/>
        <v>Sneha - Mouse</v>
      </c>
    </row>
    <row r="141" spans="1:12" ht="15.6" x14ac:dyDescent="0.3">
      <c r="A141" s="4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4" t="s">
        <v>15</v>
      </c>
      <c r="L141" s="29" t="str">
        <f t="shared" si="2"/>
        <v>Sara - Headset</v>
      </c>
    </row>
    <row r="142" spans="1:12" ht="15.6" x14ac:dyDescent="0.3">
      <c r="A142" s="4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4" t="s">
        <v>15</v>
      </c>
      <c r="L142" s="29" t="str">
        <f t="shared" si="2"/>
        <v>Ritesh - Bookshelf</v>
      </c>
    </row>
    <row r="143" spans="1:12" ht="15.6" x14ac:dyDescent="0.3">
      <c r="A143" s="4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4" t="s">
        <v>29</v>
      </c>
      <c r="L143" s="29" t="str">
        <f t="shared" si="2"/>
        <v>Deepak - Laptop</v>
      </c>
    </row>
    <row r="144" spans="1:12" ht="15.6" x14ac:dyDescent="0.3">
      <c r="A144" s="4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4" t="s">
        <v>24</v>
      </c>
      <c r="L144" s="29" t="str">
        <f t="shared" si="2"/>
        <v>Priya - Pen Pack</v>
      </c>
    </row>
    <row r="145" spans="1:12" ht="15.6" x14ac:dyDescent="0.3">
      <c r="A145" s="4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4" t="s">
        <v>20</v>
      </c>
      <c r="L145" s="29" t="str">
        <f t="shared" si="2"/>
        <v>Nisha - Notebook</v>
      </c>
    </row>
    <row r="146" spans="1:12" ht="15.6" x14ac:dyDescent="0.3">
      <c r="A146" s="4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4" t="s">
        <v>24</v>
      </c>
      <c r="L146" s="29" t="str">
        <f t="shared" si="2"/>
        <v>Nisha - Keyboard</v>
      </c>
    </row>
    <row r="147" spans="1:12" ht="15.6" x14ac:dyDescent="0.3">
      <c r="A147" s="4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4" t="s">
        <v>29</v>
      </c>
      <c r="L147" s="29" t="str">
        <f t="shared" si="2"/>
        <v>Pooja - Monitor</v>
      </c>
    </row>
    <row r="148" spans="1:12" ht="15.6" x14ac:dyDescent="0.3">
      <c r="A148" s="4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4" t="s">
        <v>20</v>
      </c>
      <c r="L148" s="29" t="str">
        <f t="shared" si="2"/>
        <v>Ritesh - Chair</v>
      </c>
    </row>
    <row r="149" spans="1:12" ht="15.6" x14ac:dyDescent="0.3">
      <c r="A149" s="4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4" t="s">
        <v>24</v>
      </c>
      <c r="L149" s="29" t="str">
        <f t="shared" si="2"/>
        <v>Anita - Chair</v>
      </c>
    </row>
    <row r="150" spans="1:12" ht="15.6" x14ac:dyDescent="0.3">
      <c r="A150" s="4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4" t="s">
        <v>29</v>
      </c>
      <c r="L150" s="29" t="str">
        <f t="shared" si="2"/>
        <v>Vikram - Printer</v>
      </c>
    </row>
    <row r="151" spans="1:12" ht="15.6" x14ac:dyDescent="0.3">
      <c r="A151" s="4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4" t="s">
        <v>24</v>
      </c>
      <c r="L151" s="29" t="str">
        <f t="shared" si="2"/>
        <v>Nisha - Cabinet</v>
      </c>
    </row>
    <row r="152" spans="1:12" ht="15.6" x14ac:dyDescent="0.3">
      <c r="A152" s="4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4" t="s">
        <v>51</v>
      </c>
      <c r="L152" s="29" t="str">
        <f t="shared" si="2"/>
        <v>Kiran - Marker</v>
      </c>
    </row>
    <row r="153" spans="1:12" ht="15.6" x14ac:dyDescent="0.3">
      <c r="A153" s="4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4" t="s">
        <v>15</v>
      </c>
      <c r="L153" s="29" t="str">
        <f t="shared" si="2"/>
        <v>Arjun - Mouse</v>
      </c>
    </row>
    <row r="154" spans="1:12" ht="15.6" x14ac:dyDescent="0.3">
      <c r="A154" s="4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4" t="s">
        <v>29</v>
      </c>
      <c r="L154" s="29" t="str">
        <f t="shared" si="2"/>
        <v>Nisha - Table</v>
      </c>
    </row>
    <row r="155" spans="1:12" ht="15.6" x14ac:dyDescent="0.3">
      <c r="A155" s="4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4" t="s">
        <v>51</v>
      </c>
      <c r="L155" s="29" t="str">
        <f t="shared" si="2"/>
        <v>Asha - Cabinet</v>
      </c>
    </row>
    <row r="156" spans="1:12" ht="15.6" x14ac:dyDescent="0.3">
      <c r="A156" s="4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4" t="s">
        <v>24</v>
      </c>
      <c r="L156" s="29" t="str">
        <f t="shared" si="2"/>
        <v>Ritesh - Chair</v>
      </c>
    </row>
    <row r="157" spans="1:12" ht="15.6" x14ac:dyDescent="0.3">
      <c r="A157" s="4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4" t="s">
        <v>15</v>
      </c>
      <c r="L157" s="29" t="str">
        <f t="shared" si="2"/>
        <v>Manoj - Stapler</v>
      </c>
    </row>
    <row r="158" spans="1:12" ht="15.6" x14ac:dyDescent="0.3">
      <c r="A158" s="4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4" t="s">
        <v>29</v>
      </c>
      <c r="L158" s="29" t="str">
        <f t="shared" si="2"/>
        <v>Komal - Marker</v>
      </c>
    </row>
    <row r="159" spans="1:12" ht="15.6" x14ac:dyDescent="0.3">
      <c r="A159" s="4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4" t="s">
        <v>51</v>
      </c>
      <c r="L159" s="29" t="str">
        <f t="shared" si="2"/>
        <v>Vikram - Headset</v>
      </c>
    </row>
    <row r="160" spans="1:12" ht="15.6" x14ac:dyDescent="0.3">
      <c r="A160" s="4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4" t="s">
        <v>15</v>
      </c>
      <c r="L160" s="29" t="str">
        <f t="shared" si="2"/>
        <v>Asha - Chair</v>
      </c>
    </row>
    <row r="161" spans="1:12" ht="15.6" x14ac:dyDescent="0.3">
      <c r="A161" s="4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4" t="s">
        <v>51</v>
      </c>
      <c r="L161" s="29" t="str">
        <f t="shared" si="2"/>
        <v>Anita - Keyboard</v>
      </c>
    </row>
    <row r="162" spans="1:12" ht="15.6" x14ac:dyDescent="0.3">
      <c r="A162" s="4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4" t="s">
        <v>20</v>
      </c>
      <c r="L162" s="29" t="str">
        <f t="shared" si="2"/>
        <v>Arjun - Keyboard</v>
      </c>
    </row>
    <row r="163" spans="1:12" ht="15.6" x14ac:dyDescent="0.3">
      <c r="A163" s="4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4" t="s">
        <v>20</v>
      </c>
      <c r="L163" s="29" t="str">
        <f t="shared" si="2"/>
        <v>Sara - Monitor</v>
      </c>
    </row>
    <row r="164" spans="1:12" ht="15.6" x14ac:dyDescent="0.3">
      <c r="A164" s="4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4" t="s">
        <v>29</v>
      </c>
      <c r="L164" s="29" t="str">
        <f t="shared" si="2"/>
        <v>Priya - Keyboard</v>
      </c>
    </row>
    <row r="165" spans="1:12" ht="15.6" x14ac:dyDescent="0.3">
      <c r="A165" s="4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4" t="s">
        <v>51</v>
      </c>
      <c r="L165" s="29" t="str">
        <f t="shared" si="2"/>
        <v>Deepak - Mouse</v>
      </c>
    </row>
    <row r="166" spans="1:12" ht="15.6" x14ac:dyDescent="0.3">
      <c r="A166" s="4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4" t="s">
        <v>51</v>
      </c>
      <c r="L166" s="29" t="str">
        <f t="shared" si="2"/>
        <v>Nitin - Pen Pack</v>
      </c>
    </row>
    <row r="167" spans="1:12" ht="15.6" x14ac:dyDescent="0.3">
      <c r="A167" s="4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4" t="s">
        <v>20</v>
      </c>
      <c r="L167" s="29" t="str">
        <f t="shared" si="2"/>
        <v>Asha - Pen Pack</v>
      </c>
    </row>
    <row r="168" spans="1:12" ht="15.6" x14ac:dyDescent="0.3">
      <c r="A168" s="4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4" t="s">
        <v>29</v>
      </c>
      <c r="L168" s="29" t="str">
        <f t="shared" si="2"/>
        <v>Nitin - Pen Pack</v>
      </c>
    </row>
    <row r="169" spans="1:12" ht="15.6" x14ac:dyDescent="0.3">
      <c r="A169" s="4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4" t="s">
        <v>29</v>
      </c>
      <c r="L169" s="29" t="str">
        <f t="shared" si="2"/>
        <v>Manoj - Pen Pack</v>
      </c>
    </row>
    <row r="170" spans="1:12" ht="15.6" x14ac:dyDescent="0.3">
      <c r="A170" s="4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4" t="s">
        <v>24</v>
      </c>
      <c r="L170" s="29" t="str">
        <f t="shared" si="2"/>
        <v>Yash - Cabinet</v>
      </c>
    </row>
    <row r="171" spans="1:12" ht="15.6" x14ac:dyDescent="0.3">
      <c r="A171" s="4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4" t="s">
        <v>24</v>
      </c>
      <c r="L171" s="29" t="str">
        <f t="shared" si="2"/>
        <v>Ajay - Notebook</v>
      </c>
    </row>
    <row r="172" spans="1:12" ht="15.6" x14ac:dyDescent="0.3">
      <c r="A172" s="4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4" t="s">
        <v>20</v>
      </c>
      <c r="L172" s="29" t="str">
        <f t="shared" si="2"/>
        <v>Sara - Marker</v>
      </c>
    </row>
    <row r="173" spans="1:12" ht="15.6" x14ac:dyDescent="0.3">
      <c r="A173" s="4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4" t="s">
        <v>24</v>
      </c>
      <c r="L173" s="29" t="str">
        <f t="shared" si="2"/>
        <v>Pooja - Monitor</v>
      </c>
    </row>
    <row r="174" spans="1:12" ht="15.6" x14ac:dyDescent="0.3">
      <c r="A174" s="4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4" t="s">
        <v>51</v>
      </c>
      <c r="L174" s="29" t="str">
        <f t="shared" si="2"/>
        <v>Deepak - Pen Pack</v>
      </c>
    </row>
    <row r="175" spans="1:12" ht="15.6" x14ac:dyDescent="0.3">
      <c r="A175" s="4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4" t="s">
        <v>24</v>
      </c>
      <c r="L175" s="29" t="str">
        <f t="shared" si="2"/>
        <v>Rohan - Notebook</v>
      </c>
    </row>
    <row r="176" spans="1:12" ht="15.6" x14ac:dyDescent="0.3">
      <c r="A176" s="4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4" t="s">
        <v>20</v>
      </c>
      <c r="L176" s="29" t="str">
        <f t="shared" si="2"/>
        <v>Vikram - Headset</v>
      </c>
    </row>
    <row r="177" spans="1:12" ht="15.6" x14ac:dyDescent="0.3">
      <c r="A177" s="4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4" t="s">
        <v>29</v>
      </c>
      <c r="L177" s="29" t="str">
        <f t="shared" si="2"/>
        <v>Rohan - Headset</v>
      </c>
    </row>
    <row r="178" spans="1:12" ht="15.6" x14ac:dyDescent="0.3">
      <c r="A178" s="4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4" t="s">
        <v>20</v>
      </c>
      <c r="L178" s="29" t="str">
        <f t="shared" si="2"/>
        <v>Priya - Desk</v>
      </c>
    </row>
    <row r="179" spans="1:12" ht="15.6" x14ac:dyDescent="0.3">
      <c r="A179" s="4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4" t="s">
        <v>20</v>
      </c>
      <c r="L179" s="29" t="str">
        <f t="shared" si="2"/>
        <v>Sara - Marker</v>
      </c>
    </row>
    <row r="180" spans="1:12" ht="15.6" x14ac:dyDescent="0.3">
      <c r="A180" s="4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4" t="s">
        <v>15</v>
      </c>
      <c r="L180" s="29" t="str">
        <f t="shared" si="2"/>
        <v>Yash - Keyboard</v>
      </c>
    </row>
    <row r="181" spans="1:12" ht="15.6" x14ac:dyDescent="0.3">
      <c r="A181" s="4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4" t="s">
        <v>29</v>
      </c>
      <c r="L181" s="29" t="str">
        <f t="shared" si="2"/>
        <v>Deepak - Chair</v>
      </c>
    </row>
    <row r="182" spans="1:12" ht="15.6" x14ac:dyDescent="0.3">
      <c r="A182" s="4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4" t="s">
        <v>15</v>
      </c>
      <c r="L182" s="29" t="str">
        <f t="shared" si="2"/>
        <v>Rohan - Stapler</v>
      </c>
    </row>
    <row r="183" spans="1:12" ht="15.6" x14ac:dyDescent="0.3">
      <c r="A183" s="4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4" t="s">
        <v>24</v>
      </c>
      <c r="L183" s="29" t="str">
        <f t="shared" si="2"/>
        <v>Nisha - Keyboard</v>
      </c>
    </row>
    <row r="184" spans="1:12" ht="15.6" x14ac:dyDescent="0.3">
      <c r="A184" s="4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4" t="s">
        <v>20</v>
      </c>
      <c r="L184" s="29" t="str">
        <f t="shared" si="2"/>
        <v>Komal - Notebook</v>
      </c>
    </row>
    <row r="185" spans="1:12" ht="15.6" x14ac:dyDescent="0.3">
      <c r="A185" s="4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4" t="s">
        <v>29</v>
      </c>
      <c r="L185" s="29" t="str">
        <f t="shared" si="2"/>
        <v>Deepak - Keyboard</v>
      </c>
    </row>
    <row r="186" spans="1:12" ht="15.6" x14ac:dyDescent="0.3">
      <c r="A186" s="4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4" t="s">
        <v>15</v>
      </c>
      <c r="L186" s="29" t="str">
        <f t="shared" si="2"/>
        <v>Rohan - Laptop</v>
      </c>
    </row>
    <row r="187" spans="1:12" ht="15.6" x14ac:dyDescent="0.3">
      <c r="A187" s="4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4" t="s">
        <v>24</v>
      </c>
      <c r="L187" s="29" t="str">
        <f t="shared" si="2"/>
        <v>Pooja - Bookshelf</v>
      </c>
    </row>
    <row r="188" spans="1:12" ht="15.6" x14ac:dyDescent="0.3">
      <c r="A188" s="4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4" t="s">
        <v>51</v>
      </c>
      <c r="L188" s="29" t="str">
        <f t="shared" si="2"/>
        <v>Manoj - Monitor</v>
      </c>
    </row>
    <row r="189" spans="1:12" ht="15.6" x14ac:dyDescent="0.3">
      <c r="A189" s="4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4" t="s">
        <v>15</v>
      </c>
      <c r="L189" s="29" t="str">
        <f t="shared" si="2"/>
        <v>Priya - Cabinet</v>
      </c>
    </row>
    <row r="190" spans="1:12" ht="15.6" x14ac:dyDescent="0.3">
      <c r="A190" s="4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4" t="s">
        <v>29</v>
      </c>
      <c r="L190" s="29" t="str">
        <f t="shared" si="2"/>
        <v>Ajay - Cabinet</v>
      </c>
    </row>
    <row r="191" spans="1:12" ht="15.6" x14ac:dyDescent="0.3">
      <c r="A191" s="4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4" t="s">
        <v>20</v>
      </c>
      <c r="L191" s="29" t="str">
        <f t="shared" si="2"/>
        <v>Sara - Chair</v>
      </c>
    </row>
    <row r="192" spans="1:12" ht="15.6" x14ac:dyDescent="0.3">
      <c r="A192" s="4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4" t="s">
        <v>20</v>
      </c>
      <c r="L192" s="29" t="str">
        <f t="shared" si="2"/>
        <v>Komal - Cabinet</v>
      </c>
    </row>
    <row r="193" spans="1:12" ht="15.6" x14ac:dyDescent="0.3">
      <c r="A193" s="4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4" t="s">
        <v>24</v>
      </c>
      <c r="L193" s="29" t="str">
        <f t="shared" si="2"/>
        <v>Meera - Diary</v>
      </c>
    </row>
    <row r="194" spans="1:12" ht="15.6" x14ac:dyDescent="0.3">
      <c r="A194" s="4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4" t="s">
        <v>29</v>
      </c>
      <c r="L194" s="29" t="str">
        <f t="shared" si="2"/>
        <v>Sara - Table</v>
      </c>
    </row>
    <row r="195" spans="1:12" ht="15.6" x14ac:dyDescent="0.3">
      <c r="A195" s="4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4" t="s">
        <v>51</v>
      </c>
      <c r="L195" s="29" t="str">
        <f t="shared" ref="L195:L258" si="3">B195&amp;" - "&amp;E195</f>
        <v>Sara - Chair</v>
      </c>
    </row>
    <row r="196" spans="1:12" ht="15.6" x14ac:dyDescent="0.3">
      <c r="A196" s="4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4" t="s">
        <v>51</v>
      </c>
      <c r="L196" s="29" t="str">
        <f t="shared" si="3"/>
        <v>Anita - Marker</v>
      </c>
    </row>
    <row r="197" spans="1:12" ht="15.6" x14ac:dyDescent="0.3">
      <c r="A197" s="4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4" t="s">
        <v>20</v>
      </c>
      <c r="L197" s="29" t="str">
        <f t="shared" si="3"/>
        <v>Nitin - Printer</v>
      </c>
    </row>
    <row r="198" spans="1:12" ht="15.6" x14ac:dyDescent="0.3">
      <c r="A198" s="4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4" t="s">
        <v>15</v>
      </c>
      <c r="L198" s="29" t="str">
        <f t="shared" si="3"/>
        <v>Komal - Printer</v>
      </c>
    </row>
    <row r="199" spans="1:12" ht="15.6" x14ac:dyDescent="0.3">
      <c r="A199" s="4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4" t="s">
        <v>51</v>
      </c>
      <c r="L199" s="29" t="str">
        <f t="shared" si="3"/>
        <v>Rohan - Notebook</v>
      </c>
    </row>
    <row r="200" spans="1:12" ht="15.6" x14ac:dyDescent="0.3">
      <c r="A200" s="4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4" t="s">
        <v>24</v>
      </c>
      <c r="L200" s="29" t="str">
        <f t="shared" si="3"/>
        <v>Ritesh - Monitor</v>
      </c>
    </row>
    <row r="201" spans="1:12" ht="15.6" x14ac:dyDescent="0.3">
      <c r="A201" s="4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4" t="s">
        <v>29</v>
      </c>
      <c r="L201" s="29" t="str">
        <f t="shared" si="3"/>
        <v>Priya - Monitor</v>
      </c>
    </row>
    <row r="202" spans="1:12" ht="15.6" x14ac:dyDescent="0.3">
      <c r="A202" s="4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4" t="s">
        <v>20</v>
      </c>
      <c r="L202" s="29" t="str">
        <f t="shared" si="3"/>
        <v>Manoj - Diary</v>
      </c>
    </row>
    <row r="203" spans="1:12" ht="15.6" x14ac:dyDescent="0.3">
      <c r="A203" s="4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4" t="s">
        <v>15</v>
      </c>
      <c r="L203" s="29" t="str">
        <f t="shared" si="3"/>
        <v>Sara - Printer</v>
      </c>
    </row>
    <row r="204" spans="1:12" ht="15.6" x14ac:dyDescent="0.3">
      <c r="A204" s="4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4" t="s">
        <v>51</v>
      </c>
      <c r="L204" s="29" t="str">
        <f t="shared" si="3"/>
        <v>Deepak - Table</v>
      </c>
    </row>
    <row r="205" spans="1:12" ht="15.6" x14ac:dyDescent="0.3">
      <c r="A205" s="4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4" t="s">
        <v>20</v>
      </c>
      <c r="L205" s="29" t="str">
        <f t="shared" si="3"/>
        <v>Pooja - Pen Pack</v>
      </c>
    </row>
    <row r="206" spans="1:12" ht="15.6" x14ac:dyDescent="0.3">
      <c r="A206" s="4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4" t="s">
        <v>51</v>
      </c>
      <c r="L206" s="29" t="str">
        <f t="shared" si="3"/>
        <v>Meera - Stapler</v>
      </c>
    </row>
    <row r="207" spans="1:12" ht="15.6" x14ac:dyDescent="0.3">
      <c r="A207" s="4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4" t="s">
        <v>15</v>
      </c>
      <c r="L207" s="29" t="str">
        <f t="shared" si="3"/>
        <v>Sneha - Notebook</v>
      </c>
    </row>
    <row r="208" spans="1:12" ht="15.6" x14ac:dyDescent="0.3">
      <c r="A208" s="4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4" t="s">
        <v>24</v>
      </c>
      <c r="L208" s="29" t="str">
        <f t="shared" si="3"/>
        <v>Sneha - Diary</v>
      </c>
    </row>
    <row r="209" spans="1:12" ht="15.6" x14ac:dyDescent="0.3">
      <c r="A209" s="4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4" t="s">
        <v>20</v>
      </c>
      <c r="L209" s="29" t="str">
        <f t="shared" si="3"/>
        <v>Manoj - Bookshelf</v>
      </c>
    </row>
    <row r="210" spans="1:12" ht="15.6" x14ac:dyDescent="0.3">
      <c r="A210" s="4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4" t="s">
        <v>20</v>
      </c>
      <c r="L210" s="29" t="str">
        <f t="shared" si="3"/>
        <v>Nitin - Printer</v>
      </c>
    </row>
    <row r="211" spans="1:12" ht="15.6" x14ac:dyDescent="0.3">
      <c r="A211" s="4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4" t="s">
        <v>29</v>
      </c>
      <c r="L211" s="29" t="str">
        <f t="shared" si="3"/>
        <v>Neha - Diary</v>
      </c>
    </row>
    <row r="212" spans="1:12" ht="15.6" x14ac:dyDescent="0.3">
      <c r="A212" s="4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4" t="s">
        <v>15</v>
      </c>
      <c r="L212" s="29" t="str">
        <f t="shared" si="3"/>
        <v>Nitin - Printer</v>
      </c>
    </row>
    <row r="213" spans="1:12" ht="15.6" x14ac:dyDescent="0.3">
      <c r="A213" s="4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4" t="s">
        <v>29</v>
      </c>
      <c r="L213" s="29" t="str">
        <f t="shared" si="3"/>
        <v>Anita - Laptop</v>
      </c>
    </row>
    <row r="214" spans="1:12" ht="15.6" x14ac:dyDescent="0.3">
      <c r="A214" s="4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4" t="s">
        <v>15</v>
      </c>
      <c r="L214" s="29" t="str">
        <f t="shared" si="3"/>
        <v>Asha - Monitor</v>
      </c>
    </row>
    <row r="215" spans="1:12" ht="15.6" x14ac:dyDescent="0.3">
      <c r="A215" s="4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4" t="s">
        <v>51</v>
      </c>
      <c r="L215" s="29" t="str">
        <f t="shared" si="3"/>
        <v>Nisha - Chair</v>
      </c>
    </row>
    <row r="216" spans="1:12" ht="15.6" x14ac:dyDescent="0.3">
      <c r="A216" s="4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4" t="s">
        <v>29</v>
      </c>
      <c r="L216" s="29" t="str">
        <f t="shared" si="3"/>
        <v>Arjun - Chair</v>
      </c>
    </row>
    <row r="217" spans="1:12" ht="15.6" x14ac:dyDescent="0.3">
      <c r="A217" s="4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4" t="s">
        <v>29</v>
      </c>
      <c r="L217" s="29" t="str">
        <f t="shared" si="3"/>
        <v>Deepak - Monitor</v>
      </c>
    </row>
    <row r="218" spans="1:12" ht="15.6" x14ac:dyDescent="0.3">
      <c r="A218" s="4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4" t="s">
        <v>29</v>
      </c>
      <c r="L218" s="29" t="str">
        <f t="shared" si="3"/>
        <v>Neha - Marker</v>
      </c>
    </row>
    <row r="219" spans="1:12" ht="15.6" x14ac:dyDescent="0.3">
      <c r="A219" s="4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4" t="s">
        <v>51</v>
      </c>
      <c r="L219" s="29" t="str">
        <f t="shared" si="3"/>
        <v>Sneha - Notebook</v>
      </c>
    </row>
    <row r="220" spans="1:12" ht="15.6" x14ac:dyDescent="0.3">
      <c r="A220" s="4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4" t="s">
        <v>29</v>
      </c>
      <c r="L220" s="29" t="str">
        <f t="shared" si="3"/>
        <v>Kiran - Notebook</v>
      </c>
    </row>
    <row r="221" spans="1:12" ht="15.6" x14ac:dyDescent="0.3">
      <c r="A221" s="4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4" t="s">
        <v>24</v>
      </c>
      <c r="L221" s="29" t="str">
        <f t="shared" si="3"/>
        <v>Ritesh - Cabinet</v>
      </c>
    </row>
    <row r="222" spans="1:12" ht="15.6" x14ac:dyDescent="0.3">
      <c r="A222" s="4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4" t="s">
        <v>51</v>
      </c>
      <c r="L222" s="29" t="str">
        <f t="shared" si="3"/>
        <v>Ritesh - Cabinet</v>
      </c>
    </row>
    <row r="223" spans="1:12" ht="15.6" x14ac:dyDescent="0.3">
      <c r="A223" s="4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4" t="s">
        <v>15</v>
      </c>
      <c r="L223" s="29" t="str">
        <f t="shared" si="3"/>
        <v>Neha - Table</v>
      </c>
    </row>
    <row r="224" spans="1:12" ht="15.6" x14ac:dyDescent="0.3">
      <c r="A224" s="4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4" t="s">
        <v>15</v>
      </c>
      <c r="L224" s="29" t="str">
        <f t="shared" si="3"/>
        <v>Anita - Table</v>
      </c>
    </row>
    <row r="225" spans="1:12" ht="15.6" x14ac:dyDescent="0.3">
      <c r="A225" s="4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4" t="s">
        <v>24</v>
      </c>
      <c r="L225" s="29" t="str">
        <f t="shared" si="3"/>
        <v>Neha - Monitor</v>
      </c>
    </row>
    <row r="226" spans="1:12" ht="15.6" x14ac:dyDescent="0.3">
      <c r="A226" s="4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4" t="s">
        <v>20</v>
      </c>
      <c r="L226" s="29" t="str">
        <f t="shared" si="3"/>
        <v>Nisha - Printer</v>
      </c>
    </row>
    <row r="227" spans="1:12" ht="15.6" x14ac:dyDescent="0.3">
      <c r="A227" s="4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4" t="s">
        <v>29</v>
      </c>
      <c r="L227" s="29" t="str">
        <f t="shared" si="3"/>
        <v>Priya - Headset</v>
      </c>
    </row>
    <row r="228" spans="1:12" ht="15.6" x14ac:dyDescent="0.3">
      <c r="A228" s="4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4" t="s">
        <v>15</v>
      </c>
      <c r="L228" s="29" t="str">
        <f t="shared" si="3"/>
        <v>Rohan - Monitor</v>
      </c>
    </row>
    <row r="229" spans="1:12" ht="15.6" x14ac:dyDescent="0.3">
      <c r="A229" s="4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4" t="s">
        <v>24</v>
      </c>
      <c r="L229" s="29" t="str">
        <f t="shared" si="3"/>
        <v>Priya - Monitor</v>
      </c>
    </row>
    <row r="230" spans="1:12" ht="15.6" x14ac:dyDescent="0.3">
      <c r="A230" s="4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4" t="s">
        <v>20</v>
      </c>
      <c r="L230" s="29" t="str">
        <f t="shared" si="3"/>
        <v>Sara - Cabinet</v>
      </c>
    </row>
    <row r="231" spans="1:12" ht="15.6" x14ac:dyDescent="0.3">
      <c r="A231" s="4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4" t="s">
        <v>24</v>
      </c>
      <c r="L231" s="29" t="str">
        <f t="shared" si="3"/>
        <v>Anita - Laptop</v>
      </c>
    </row>
    <row r="232" spans="1:12" ht="15.6" x14ac:dyDescent="0.3">
      <c r="A232" s="4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4" t="s">
        <v>20</v>
      </c>
      <c r="L232" s="29" t="str">
        <f t="shared" si="3"/>
        <v>Nitin - Desk</v>
      </c>
    </row>
    <row r="233" spans="1:12" ht="15.6" x14ac:dyDescent="0.3">
      <c r="A233" s="4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4" t="s">
        <v>15</v>
      </c>
      <c r="L233" s="29" t="str">
        <f t="shared" si="3"/>
        <v>Meera - Laptop</v>
      </c>
    </row>
    <row r="234" spans="1:12" ht="15.6" x14ac:dyDescent="0.3">
      <c r="A234" s="4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4" t="s">
        <v>24</v>
      </c>
      <c r="L234" s="29" t="str">
        <f t="shared" si="3"/>
        <v>Rohan - Desk</v>
      </c>
    </row>
    <row r="235" spans="1:12" ht="15.6" x14ac:dyDescent="0.3">
      <c r="A235" s="4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4" t="s">
        <v>51</v>
      </c>
      <c r="L235" s="29" t="str">
        <f t="shared" si="3"/>
        <v>Ritesh - Chair</v>
      </c>
    </row>
    <row r="236" spans="1:12" ht="15.6" x14ac:dyDescent="0.3">
      <c r="A236" s="4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4" t="s">
        <v>29</v>
      </c>
      <c r="L236" s="29" t="str">
        <f t="shared" si="3"/>
        <v>Sara - Marker</v>
      </c>
    </row>
    <row r="237" spans="1:12" ht="15.6" x14ac:dyDescent="0.3">
      <c r="A237" s="4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4" t="s">
        <v>29</v>
      </c>
      <c r="L237" s="29" t="str">
        <f t="shared" si="3"/>
        <v>Manoj - Pen Pack</v>
      </c>
    </row>
    <row r="238" spans="1:12" ht="15.6" x14ac:dyDescent="0.3">
      <c r="A238" s="4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4" t="s">
        <v>15</v>
      </c>
      <c r="L238" s="29" t="str">
        <f t="shared" si="3"/>
        <v>Kiran - Cabinet</v>
      </c>
    </row>
    <row r="239" spans="1:12" ht="15.6" x14ac:dyDescent="0.3">
      <c r="A239" s="4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4" t="s">
        <v>51</v>
      </c>
      <c r="L239" s="29" t="str">
        <f t="shared" si="3"/>
        <v>Neha - Notebook</v>
      </c>
    </row>
    <row r="240" spans="1:12" ht="15.6" x14ac:dyDescent="0.3">
      <c r="A240" s="4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4" t="s">
        <v>15</v>
      </c>
      <c r="L240" s="29" t="str">
        <f t="shared" si="3"/>
        <v>Nitin - Cabinet</v>
      </c>
    </row>
    <row r="241" spans="1:12" ht="15.6" x14ac:dyDescent="0.3">
      <c r="A241" s="4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4" t="s">
        <v>29</v>
      </c>
      <c r="L241" s="29" t="str">
        <f t="shared" si="3"/>
        <v>Sneha - Table</v>
      </c>
    </row>
    <row r="242" spans="1:12" ht="15.6" x14ac:dyDescent="0.3">
      <c r="A242" s="4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4" t="s">
        <v>15</v>
      </c>
      <c r="L242" s="29" t="str">
        <f t="shared" si="3"/>
        <v>Kiran - Bookshelf</v>
      </c>
    </row>
    <row r="243" spans="1:12" ht="15.6" x14ac:dyDescent="0.3">
      <c r="A243" s="4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4" t="s">
        <v>51</v>
      </c>
      <c r="L243" s="29" t="str">
        <f t="shared" si="3"/>
        <v>Manoj - Marker</v>
      </c>
    </row>
    <row r="244" spans="1:12" ht="15.6" x14ac:dyDescent="0.3">
      <c r="A244" s="4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4" t="s">
        <v>24</v>
      </c>
      <c r="L244" s="29" t="str">
        <f t="shared" si="3"/>
        <v>Neha - Headset</v>
      </c>
    </row>
    <row r="245" spans="1:12" ht="15.6" x14ac:dyDescent="0.3">
      <c r="A245" s="4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4" t="s">
        <v>15</v>
      </c>
      <c r="L245" s="29" t="str">
        <f t="shared" si="3"/>
        <v>Sara - Chair</v>
      </c>
    </row>
    <row r="246" spans="1:12" ht="15.6" x14ac:dyDescent="0.3">
      <c r="A246" s="4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4" t="s">
        <v>29</v>
      </c>
      <c r="L246" s="29" t="str">
        <f t="shared" si="3"/>
        <v>Sneha - Headset</v>
      </c>
    </row>
    <row r="247" spans="1:12" ht="15.6" x14ac:dyDescent="0.3">
      <c r="A247" s="4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4" t="s">
        <v>51</v>
      </c>
      <c r="L247" s="29" t="str">
        <f t="shared" si="3"/>
        <v>Sneha - Printer</v>
      </c>
    </row>
    <row r="248" spans="1:12" ht="15.6" x14ac:dyDescent="0.3">
      <c r="A248" s="4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4" t="s">
        <v>20</v>
      </c>
      <c r="L248" s="29" t="str">
        <f t="shared" si="3"/>
        <v>Vikram - Marker</v>
      </c>
    </row>
    <row r="249" spans="1:12" ht="15.6" x14ac:dyDescent="0.3">
      <c r="A249" s="4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4" t="s">
        <v>29</v>
      </c>
      <c r="L249" s="29" t="str">
        <f t="shared" si="3"/>
        <v>Arjun - Pen Pack</v>
      </c>
    </row>
    <row r="250" spans="1:12" ht="15.6" x14ac:dyDescent="0.3">
      <c r="A250" s="4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4" t="s">
        <v>20</v>
      </c>
      <c r="L250" s="29" t="str">
        <f t="shared" si="3"/>
        <v>Pooja - Headset</v>
      </c>
    </row>
    <row r="251" spans="1:12" ht="15.6" x14ac:dyDescent="0.3">
      <c r="A251" s="4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4" t="s">
        <v>29</v>
      </c>
      <c r="L251" s="29" t="str">
        <f t="shared" si="3"/>
        <v>Ritesh - Monitor</v>
      </c>
    </row>
    <row r="252" spans="1:12" ht="15.6" x14ac:dyDescent="0.3">
      <c r="A252" s="4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4" t="s">
        <v>51</v>
      </c>
      <c r="L252" s="29" t="str">
        <f t="shared" si="3"/>
        <v>Sneha - Mouse</v>
      </c>
    </row>
    <row r="253" spans="1:12" ht="15.6" x14ac:dyDescent="0.3">
      <c r="A253" s="4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4" t="s">
        <v>20</v>
      </c>
      <c r="L253" s="29" t="str">
        <f t="shared" si="3"/>
        <v>Yash - Stapler</v>
      </c>
    </row>
    <row r="254" spans="1:12" ht="15.6" x14ac:dyDescent="0.3">
      <c r="A254" s="4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4" t="s">
        <v>29</v>
      </c>
      <c r="L254" s="29" t="str">
        <f t="shared" si="3"/>
        <v>Meera - Monitor</v>
      </c>
    </row>
    <row r="255" spans="1:12" ht="15.6" x14ac:dyDescent="0.3">
      <c r="A255" s="4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4" t="s">
        <v>24</v>
      </c>
      <c r="L255" s="29" t="str">
        <f t="shared" si="3"/>
        <v>Komal - Marker</v>
      </c>
    </row>
    <row r="256" spans="1:12" ht="15.6" x14ac:dyDescent="0.3">
      <c r="A256" s="4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4" t="s">
        <v>20</v>
      </c>
      <c r="L256" s="29" t="str">
        <f t="shared" si="3"/>
        <v>Asha - Desk</v>
      </c>
    </row>
    <row r="257" spans="1:12" ht="15.6" x14ac:dyDescent="0.3">
      <c r="A257" s="4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4" t="s">
        <v>15</v>
      </c>
      <c r="L257" s="29" t="str">
        <f t="shared" si="3"/>
        <v>Nitin - Marker</v>
      </c>
    </row>
    <row r="258" spans="1:12" ht="15.6" x14ac:dyDescent="0.3">
      <c r="A258" s="4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4" t="s">
        <v>15</v>
      </c>
      <c r="L258" s="29" t="str">
        <f t="shared" si="3"/>
        <v>Manoj - Mouse</v>
      </c>
    </row>
    <row r="259" spans="1:12" ht="15.6" x14ac:dyDescent="0.3">
      <c r="A259" s="4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4" t="s">
        <v>29</v>
      </c>
      <c r="L259" s="29" t="str">
        <f t="shared" ref="L259:L322" si="4">B259&amp;" - "&amp;E259</f>
        <v>Asha - Laptop</v>
      </c>
    </row>
    <row r="260" spans="1:12" ht="15.6" x14ac:dyDescent="0.3">
      <c r="A260" s="4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4" t="s">
        <v>15</v>
      </c>
      <c r="L260" s="29" t="str">
        <f t="shared" si="4"/>
        <v>Nisha - Monitor</v>
      </c>
    </row>
    <row r="261" spans="1:12" ht="15.6" x14ac:dyDescent="0.3">
      <c r="A261" s="4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4" t="s">
        <v>29</v>
      </c>
      <c r="L261" s="29" t="str">
        <f t="shared" si="4"/>
        <v>Manoj - Headset</v>
      </c>
    </row>
    <row r="262" spans="1:12" ht="15.6" x14ac:dyDescent="0.3">
      <c r="A262" s="4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4" t="s">
        <v>51</v>
      </c>
      <c r="L262" s="29" t="str">
        <f t="shared" si="4"/>
        <v>Deepak - Marker</v>
      </c>
    </row>
    <row r="263" spans="1:12" ht="15.6" x14ac:dyDescent="0.3">
      <c r="A263" s="4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4" t="s">
        <v>15</v>
      </c>
      <c r="L263" s="29" t="str">
        <f t="shared" si="4"/>
        <v>Pooja - Chair</v>
      </c>
    </row>
    <row r="264" spans="1:12" ht="15.6" x14ac:dyDescent="0.3">
      <c r="A264" s="4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4" t="s">
        <v>51</v>
      </c>
      <c r="L264" s="29" t="str">
        <f t="shared" si="4"/>
        <v>Priya - Chair</v>
      </c>
    </row>
    <row r="265" spans="1:12" ht="15.6" x14ac:dyDescent="0.3">
      <c r="A265" s="4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4" t="s">
        <v>20</v>
      </c>
      <c r="L265" s="29" t="str">
        <f t="shared" si="4"/>
        <v>Ritesh - Chair</v>
      </c>
    </row>
    <row r="266" spans="1:12" ht="15.6" x14ac:dyDescent="0.3">
      <c r="A266" s="4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4" t="s">
        <v>51</v>
      </c>
      <c r="L266" s="29" t="str">
        <f t="shared" si="4"/>
        <v>Rohan - Desk</v>
      </c>
    </row>
    <row r="267" spans="1:12" ht="15.6" x14ac:dyDescent="0.3">
      <c r="A267" s="4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4" t="s">
        <v>51</v>
      </c>
      <c r="L267" s="29" t="str">
        <f t="shared" si="4"/>
        <v>Priya - Notebook</v>
      </c>
    </row>
    <row r="268" spans="1:12" ht="15.6" x14ac:dyDescent="0.3">
      <c r="A268" s="4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4" t="s">
        <v>20</v>
      </c>
      <c r="L268" s="29" t="str">
        <f t="shared" si="4"/>
        <v>Arjun - Marker</v>
      </c>
    </row>
    <row r="269" spans="1:12" ht="15.6" x14ac:dyDescent="0.3">
      <c r="A269" s="4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4" t="s">
        <v>20</v>
      </c>
      <c r="L269" s="29" t="str">
        <f t="shared" si="4"/>
        <v>Nisha - Monitor</v>
      </c>
    </row>
    <row r="270" spans="1:12" ht="15.6" x14ac:dyDescent="0.3">
      <c r="A270" s="4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4" t="s">
        <v>15</v>
      </c>
      <c r="L270" s="29" t="str">
        <f t="shared" si="4"/>
        <v>Komal - Desk</v>
      </c>
    </row>
    <row r="271" spans="1:12" ht="15.6" x14ac:dyDescent="0.3">
      <c r="A271" s="4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4" t="s">
        <v>51</v>
      </c>
      <c r="L271" s="29" t="str">
        <f t="shared" si="4"/>
        <v>Ajay - Printer</v>
      </c>
    </row>
    <row r="272" spans="1:12" ht="15.6" x14ac:dyDescent="0.3">
      <c r="A272" s="4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4" t="s">
        <v>29</v>
      </c>
      <c r="L272" s="29" t="str">
        <f t="shared" si="4"/>
        <v>Deepak - Laptop</v>
      </c>
    </row>
    <row r="273" spans="1:12" ht="15.6" x14ac:dyDescent="0.3">
      <c r="A273" s="4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4" t="s">
        <v>20</v>
      </c>
      <c r="L273" s="29" t="str">
        <f t="shared" si="4"/>
        <v>Komal - Headset</v>
      </c>
    </row>
    <row r="274" spans="1:12" ht="15.6" x14ac:dyDescent="0.3">
      <c r="A274" s="4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4" t="s">
        <v>20</v>
      </c>
      <c r="L274" s="29" t="str">
        <f t="shared" si="4"/>
        <v>Kiran - Keyboard</v>
      </c>
    </row>
    <row r="275" spans="1:12" ht="15.6" x14ac:dyDescent="0.3">
      <c r="A275" s="4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4" t="s">
        <v>20</v>
      </c>
      <c r="L275" s="29" t="str">
        <f t="shared" si="4"/>
        <v>Vikram - Headset</v>
      </c>
    </row>
    <row r="276" spans="1:12" ht="15.6" x14ac:dyDescent="0.3">
      <c r="A276" s="4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4" t="s">
        <v>20</v>
      </c>
      <c r="L276" s="29" t="str">
        <f t="shared" si="4"/>
        <v>Pooja - Marker</v>
      </c>
    </row>
    <row r="277" spans="1:12" ht="15.6" x14ac:dyDescent="0.3">
      <c r="A277" s="4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4" t="s">
        <v>24</v>
      </c>
      <c r="L277" s="29" t="str">
        <f t="shared" si="4"/>
        <v>Deepak - Desk</v>
      </c>
    </row>
    <row r="278" spans="1:12" ht="15.6" x14ac:dyDescent="0.3">
      <c r="A278" s="4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4" t="s">
        <v>15</v>
      </c>
      <c r="L278" s="29" t="str">
        <f t="shared" si="4"/>
        <v>Anita - Stapler</v>
      </c>
    </row>
    <row r="279" spans="1:12" ht="15.6" x14ac:dyDescent="0.3">
      <c r="A279" s="4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4" t="s">
        <v>20</v>
      </c>
      <c r="L279" s="29" t="str">
        <f t="shared" si="4"/>
        <v>Yash - Mouse</v>
      </c>
    </row>
    <row r="280" spans="1:12" ht="15.6" x14ac:dyDescent="0.3">
      <c r="A280" s="4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4" t="s">
        <v>15</v>
      </c>
      <c r="L280" s="29" t="str">
        <f t="shared" si="4"/>
        <v>Sneha - Monitor</v>
      </c>
    </row>
    <row r="281" spans="1:12" ht="15.6" x14ac:dyDescent="0.3">
      <c r="A281" s="4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4" t="s">
        <v>51</v>
      </c>
      <c r="L281" s="29" t="str">
        <f t="shared" si="4"/>
        <v>Anita - Diary</v>
      </c>
    </row>
    <row r="282" spans="1:12" ht="15.6" x14ac:dyDescent="0.3">
      <c r="A282" s="4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4" t="s">
        <v>24</v>
      </c>
      <c r="L282" s="29" t="str">
        <f t="shared" si="4"/>
        <v>Sneha - Marker</v>
      </c>
    </row>
    <row r="283" spans="1:12" ht="15.6" x14ac:dyDescent="0.3">
      <c r="A283" s="4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4" t="s">
        <v>29</v>
      </c>
      <c r="L283" s="29" t="str">
        <f t="shared" si="4"/>
        <v>Sara - Bookshelf</v>
      </c>
    </row>
    <row r="284" spans="1:12" ht="15.6" x14ac:dyDescent="0.3">
      <c r="A284" s="4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4" t="s">
        <v>15</v>
      </c>
      <c r="L284" s="29" t="str">
        <f t="shared" si="4"/>
        <v>Deepak - Table</v>
      </c>
    </row>
    <row r="285" spans="1:12" ht="15.6" x14ac:dyDescent="0.3">
      <c r="A285" s="4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4" t="s">
        <v>15</v>
      </c>
      <c r="L285" s="29" t="str">
        <f t="shared" si="4"/>
        <v>Deepak - Pen Pack</v>
      </c>
    </row>
    <row r="286" spans="1:12" ht="15.6" x14ac:dyDescent="0.3">
      <c r="A286" s="4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4" t="s">
        <v>20</v>
      </c>
      <c r="L286" s="29" t="str">
        <f t="shared" si="4"/>
        <v>Asha - Stapler</v>
      </c>
    </row>
    <row r="287" spans="1:12" ht="15.6" x14ac:dyDescent="0.3">
      <c r="A287" s="4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4" t="s">
        <v>15</v>
      </c>
      <c r="L287" s="29" t="str">
        <f t="shared" si="4"/>
        <v>Kiran - Cabinet</v>
      </c>
    </row>
    <row r="288" spans="1:12" ht="15.6" x14ac:dyDescent="0.3">
      <c r="A288" s="4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4" t="s">
        <v>51</v>
      </c>
      <c r="L288" s="29" t="str">
        <f t="shared" si="4"/>
        <v>Anita - Notebook</v>
      </c>
    </row>
    <row r="289" spans="1:12" ht="15.6" x14ac:dyDescent="0.3">
      <c r="A289" s="4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4" t="s">
        <v>29</v>
      </c>
      <c r="L289" s="29" t="str">
        <f t="shared" si="4"/>
        <v>Manoj - Laptop</v>
      </c>
    </row>
    <row r="290" spans="1:12" ht="15.6" x14ac:dyDescent="0.3">
      <c r="A290" s="4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4" t="s">
        <v>24</v>
      </c>
      <c r="L290" s="29" t="str">
        <f t="shared" si="4"/>
        <v>Vikram - Monitor</v>
      </c>
    </row>
    <row r="291" spans="1:12" ht="15.6" x14ac:dyDescent="0.3">
      <c r="A291" s="4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4" t="s">
        <v>29</v>
      </c>
      <c r="L291" s="29" t="str">
        <f t="shared" si="4"/>
        <v>Vikram - Printer</v>
      </c>
    </row>
    <row r="292" spans="1:12" ht="15.6" x14ac:dyDescent="0.3">
      <c r="A292" s="4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4" t="s">
        <v>20</v>
      </c>
      <c r="L292" s="29" t="str">
        <f t="shared" si="4"/>
        <v>Meera - Stapler</v>
      </c>
    </row>
    <row r="293" spans="1:12" ht="15.6" x14ac:dyDescent="0.3">
      <c r="A293" s="4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4" t="s">
        <v>20</v>
      </c>
      <c r="L293" s="29" t="str">
        <f t="shared" si="4"/>
        <v>Manoj - Mouse</v>
      </c>
    </row>
    <row r="294" spans="1:12" ht="15.6" x14ac:dyDescent="0.3">
      <c r="A294" s="4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4" t="s">
        <v>20</v>
      </c>
      <c r="L294" s="29" t="str">
        <f t="shared" si="4"/>
        <v>Ajay - Table</v>
      </c>
    </row>
    <row r="295" spans="1:12" ht="15.6" x14ac:dyDescent="0.3">
      <c r="A295" s="4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4" t="s">
        <v>15</v>
      </c>
      <c r="L295" s="29" t="str">
        <f t="shared" si="4"/>
        <v>Meera - Desk</v>
      </c>
    </row>
    <row r="296" spans="1:12" ht="15.6" x14ac:dyDescent="0.3">
      <c r="A296" s="4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4" t="s">
        <v>15</v>
      </c>
      <c r="L296" s="29" t="str">
        <f t="shared" si="4"/>
        <v>Komal - Chair</v>
      </c>
    </row>
    <row r="297" spans="1:12" ht="15.6" x14ac:dyDescent="0.3">
      <c r="A297" s="4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4" t="s">
        <v>51</v>
      </c>
      <c r="L297" s="29" t="str">
        <f t="shared" si="4"/>
        <v>Vikram - Marker</v>
      </c>
    </row>
    <row r="298" spans="1:12" ht="15.6" x14ac:dyDescent="0.3">
      <c r="A298" s="4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4" t="s">
        <v>29</v>
      </c>
      <c r="L298" s="29" t="str">
        <f t="shared" si="4"/>
        <v>Manoj - Printer</v>
      </c>
    </row>
    <row r="299" spans="1:12" ht="15.6" x14ac:dyDescent="0.3">
      <c r="A299" s="4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4" t="s">
        <v>24</v>
      </c>
      <c r="L299" s="29" t="str">
        <f t="shared" si="4"/>
        <v>Meera - Mouse</v>
      </c>
    </row>
    <row r="300" spans="1:12" ht="15.6" x14ac:dyDescent="0.3">
      <c r="A300" s="4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4" t="s">
        <v>15</v>
      </c>
      <c r="L300" s="29" t="str">
        <f t="shared" si="4"/>
        <v>Vikram - Cabinet</v>
      </c>
    </row>
    <row r="301" spans="1:12" ht="15.6" x14ac:dyDescent="0.3">
      <c r="A301" s="4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4" t="s">
        <v>24</v>
      </c>
      <c r="L301" s="29" t="str">
        <f t="shared" si="4"/>
        <v>Yash - Monitor</v>
      </c>
    </row>
    <row r="302" spans="1:12" ht="15.6" x14ac:dyDescent="0.3">
      <c r="A302" s="4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4" t="s">
        <v>24</v>
      </c>
      <c r="L302" s="29" t="str">
        <f t="shared" si="4"/>
        <v>Manoj - Chair</v>
      </c>
    </row>
    <row r="303" spans="1:12" ht="15.6" x14ac:dyDescent="0.3">
      <c r="A303" s="4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4" t="s">
        <v>24</v>
      </c>
      <c r="L303" s="29" t="str">
        <f t="shared" si="4"/>
        <v>Sara - Printer</v>
      </c>
    </row>
    <row r="304" spans="1:12" ht="15.6" x14ac:dyDescent="0.3">
      <c r="A304" s="4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4" t="s">
        <v>15</v>
      </c>
      <c r="L304" s="29" t="str">
        <f t="shared" si="4"/>
        <v>Sara - Printer</v>
      </c>
    </row>
    <row r="305" spans="1:12" ht="15.6" x14ac:dyDescent="0.3">
      <c r="A305" s="4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4" t="s">
        <v>51</v>
      </c>
      <c r="L305" s="29" t="str">
        <f t="shared" si="4"/>
        <v>Anita - Stapler</v>
      </c>
    </row>
    <row r="306" spans="1:12" ht="15.6" x14ac:dyDescent="0.3">
      <c r="A306" s="4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4" t="s">
        <v>51</v>
      </c>
      <c r="L306" s="29" t="str">
        <f t="shared" si="4"/>
        <v>Rohan - Laptop</v>
      </c>
    </row>
    <row r="307" spans="1:12" ht="15.6" x14ac:dyDescent="0.3">
      <c r="A307" s="4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4" t="s">
        <v>20</v>
      </c>
      <c r="L307" s="29" t="str">
        <f t="shared" si="4"/>
        <v>Manoj - Stapler</v>
      </c>
    </row>
    <row r="308" spans="1:12" ht="15.6" x14ac:dyDescent="0.3">
      <c r="A308" s="4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4" t="s">
        <v>51</v>
      </c>
      <c r="L308" s="29" t="str">
        <f t="shared" si="4"/>
        <v>Sara - Printer</v>
      </c>
    </row>
    <row r="309" spans="1:12" ht="15.6" x14ac:dyDescent="0.3">
      <c r="A309" s="4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4" t="s">
        <v>20</v>
      </c>
      <c r="L309" s="29" t="str">
        <f t="shared" si="4"/>
        <v>Neha - Headset</v>
      </c>
    </row>
    <row r="310" spans="1:12" ht="15.6" x14ac:dyDescent="0.3">
      <c r="A310" s="4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4" t="s">
        <v>24</v>
      </c>
      <c r="L310" s="29" t="str">
        <f t="shared" si="4"/>
        <v>Priya - Marker</v>
      </c>
    </row>
    <row r="311" spans="1:12" ht="15.6" x14ac:dyDescent="0.3">
      <c r="A311" s="4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4" t="s">
        <v>29</v>
      </c>
      <c r="L311" s="29" t="str">
        <f t="shared" si="4"/>
        <v>Ajay - Cabinet</v>
      </c>
    </row>
    <row r="312" spans="1:12" ht="15.6" x14ac:dyDescent="0.3">
      <c r="A312" s="4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4" t="s">
        <v>20</v>
      </c>
      <c r="L312" s="29" t="str">
        <f t="shared" si="4"/>
        <v>Sneha - Notebook</v>
      </c>
    </row>
    <row r="313" spans="1:12" ht="15.6" x14ac:dyDescent="0.3">
      <c r="A313" s="4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4" t="s">
        <v>24</v>
      </c>
      <c r="L313" s="29" t="str">
        <f t="shared" si="4"/>
        <v>Sara - Cabinet</v>
      </c>
    </row>
    <row r="314" spans="1:12" ht="15.6" x14ac:dyDescent="0.3">
      <c r="A314" s="4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4" t="s">
        <v>15</v>
      </c>
      <c r="L314" s="29" t="str">
        <f t="shared" si="4"/>
        <v>Anita - Cabinet</v>
      </c>
    </row>
    <row r="315" spans="1:12" ht="15.6" x14ac:dyDescent="0.3">
      <c r="A315" s="4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4" t="s">
        <v>29</v>
      </c>
      <c r="L315" s="29" t="str">
        <f t="shared" si="4"/>
        <v>Komal - Desk</v>
      </c>
    </row>
    <row r="316" spans="1:12" ht="15.6" x14ac:dyDescent="0.3">
      <c r="A316" s="4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4" t="s">
        <v>15</v>
      </c>
      <c r="L316" s="29" t="str">
        <f t="shared" si="4"/>
        <v>Ajay - Headset</v>
      </c>
    </row>
    <row r="317" spans="1:12" ht="15.6" x14ac:dyDescent="0.3">
      <c r="A317" s="4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4" t="s">
        <v>20</v>
      </c>
      <c r="L317" s="29" t="str">
        <f t="shared" si="4"/>
        <v>Kiran - Chair</v>
      </c>
    </row>
    <row r="318" spans="1:12" ht="15.6" x14ac:dyDescent="0.3">
      <c r="A318" s="4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4" t="s">
        <v>51</v>
      </c>
      <c r="L318" s="29" t="str">
        <f t="shared" si="4"/>
        <v>Anita - Headset</v>
      </c>
    </row>
    <row r="319" spans="1:12" ht="15.6" x14ac:dyDescent="0.3">
      <c r="A319" s="4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4" t="s">
        <v>29</v>
      </c>
      <c r="L319" s="29" t="str">
        <f t="shared" si="4"/>
        <v>Ritesh - Marker</v>
      </c>
    </row>
    <row r="320" spans="1:12" ht="15.6" x14ac:dyDescent="0.3">
      <c r="A320" s="4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4" t="s">
        <v>15</v>
      </c>
      <c r="L320" s="29" t="str">
        <f t="shared" si="4"/>
        <v>Meera - Mouse</v>
      </c>
    </row>
    <row r="321" spans="1:12" ht="15.6" x14ac:dyDescent="0.3">
      <c r="A321" s="4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4" t="s">
        <v>20</v>
      </c>
      <c r="L321" s="29" t="str">
        <f t="shared" si="4"/>
        <v>Yash - Stapler</v>
      </c>
    </row>
    <row r="322" spans="1:12" ht="15.6" x14ac:dyDescent="0.3">
      <c r="A322" s="4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4" t="s">
        <v>51</v>
      </c>
      <c r="L322" s="29" t="str">
        <f t="shared" si="4"/>
        <v>Asha - Desk</v>
      </c>
    </row>
    <row r="323" spans="1:12" ht="15.6" x14ac:dyDescent="0.3">
      <c r="A323" s="4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4" t="s">
        <v>15</v>
      </c>
      <c r="L323" s="29" t="str">
        <f t="shared" ref="L323:L386" si="5">B323&amp;" - "&amp;E323</f>
        <v>Arjun - Table</v>
      </c>
    </row>
    <row r="324" spans="1:12" ht="15.6" x14ac:dyDescent="0.3">
      <c r="A324" s="4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4" t="s">
        <v>15</v>
      </c>
      <c r="L324" s="29" t="str">
        <f t="shared" si="5"/>
        <v>Sara - Mouse</v>
      </c>
    </row>
    <row r="325" spans="1:12" ht="15.6" x14ac:dyDescent="0.3">
      <c r="A325" s="4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4" t="s">
        <v>20</v>
      </c>
      <c r="L325" s="29" t="str">
        <f t="shared" si="5"/>
        <v>Asha - Desk</v>
      </c>
    </row>
    <row r="326" spans="1:12" ht="15.6" x14ac:dyDescent="0.3">
      <c r="A326" s="4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4" t="s">
        <v>20</v>
      </c>
      <c r="L326" s="29" t="str">
        <f t="shared" si="5"/>
        <v>Nitin - Keyboard</v>
      </c>
    </row>
    <row r="327" spans="1:12" ht="15.6" x14ac:dyDescent="0.3">
      <c r="A327" s="4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4" t="s">
        <v>15</v>
      </c>
      <c r="L327" s="29" t="str">
        <f t="shared" si="5"/>
        <v>Vikram - Bookshelf</v>
      </c>
    </row>
    <row r="328" spans="1:12" ht="15.6" x14ac:dyDescent="0.3">
      <c r="A328" s="4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4" t="s">
        <v>15</v>
      </c>
      <c r="L328" s="29" t="str">
        <f t="shared" si="5"/>
        <v>Nitin - Diary</v>
      </c>
    </row>
    <row r="329" spans="1:12" ht="15.6" x14ac:dyDescent="0.3">
      <c r="A329" s="4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4" t="s">
        <v>29</v>
      </c>
      <c r="L329" s="29" t="str">
        <f t="shared" si="5"/>
        <v>Pooja - Stapler</v>
      </c>
    </row>
    <row r="330" spans="1:12" ht="15.6" x14ac:dyDescent="0.3">
      <c r="A330" s="4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4" t="s">
        <v>29</v>
      </c>
      <c r="L330" s="29" t="str">
        <f t="shared" si="5"/>
        <v>Neha - Diary</v>
      </c>
    </row>
    <row r="331" spans="1:12" ht="15.6" x14ac:dyDescent="0.3">
      <c r="A331" s="4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4" t="s">
        <v>51</v>
      </c>
      <c r="L331" s="29" t="str">
        <f t="shared" si="5"/>
        <v>Ajay - Desk</v>
      </c>
    </row>
    <row r="332" spans="1:12" ht="15.6" x14ac:dyDescent="0.3">
      <c r="A332" s="4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4" t="s">
        <v>15</v>
      </c>
      <c r="L332" s="29" t="str">
        <f t="shared" si="5"/>
        <v>Meera - Mouse</v>
      </c>
    </row>
    <row r="333" spans="1:12" ht="15.6" x14ac:dyDescent="0.3">
      <c r="A333" s="4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4" t="s">
        <v>15</v>
      </c>
      <c r="L333" s="29" t="str">
        <f t="shared" si="5"/>
        <v>Priya - Marker</v>
      </c>
    </row>
    <row r="334" spans="1:12" ht="15.6" x14ac:dyDescent="0.3">
      <c r="A334" s="4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4" t="s">
        <v>51</v>
      </c>
      <c r="L334" s="29" t="str">
        <f t="shared" si="5"/>
        <v>Priya - Diary</v>
      </c>
    </row>
    <row r="335" spans="1:12" ht="15.6" x14ac:dyDescent="0.3">
      <c r="A335" s="4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4" t="s">
        <v>51</v>
      </c>
      <c r="L335" s="29" t="str">
        <f t="shared" si="5"/>
        <v>Deepak - Headset</v>
      </c>
    </row>
    <row r="336" spans="1:12" ht="15.6" x14ac:dyDescent="0.3">
      <c r="A336" s="4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4" t="s">
        <v>15</v>
      </c>
      <c r="L336" s="29" t="str">
        <f t="shared" si="5"/>
        <v>Yash - Desk</v>
      </c>
    </row>
    <row r="337" spans="1:12" ht="15.6" x14ac:dyDescent="0.3">
      <c r="A337" s="4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4" t="s">
        <v>29</v>
      </c>
      <c r="L337" s="29" t="str">
        <f t="shared" si="5"/>
        <v>Pooja - Cabinet</v>
      </c>
    </row>
    <row r="338" spans="1:12" ht="15.6" x14ac:dyDescent="0.3">
      <c r="A338" s="4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4" t="s">
        <v>29</v>
      </c>
      <c r="L338" s="29" t="str">
        <f t="shared" si="5"/>
        <v>Pooja - Diary</v>
      </c>
    </row>
    <row r="339" spans="1:12" ht="15.6" x14ac:dyDescent="0.3">
      <c r="A339" s="4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4" t="s">
        <v>15</v>
      </c>
      <c r="L339" s="29" t="str">
        <f t="shared" si="5"/>
        <v>Anita - Laptop</v>
      </c>
    </row>
    <row r="340" spans="1:12" ht="15.6" x14ac:dyDescent="0.3">
      <c r="A340" s="4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4" t="s">
        <v>20</v>
      </c>
      <c r="L340" s="29" t="str">
        <f t="shared" si="5"/>
        <v>Asha - Notebook</v>
      </c>
    </row>
    <row r="341" spans="1:12" ht="15.6" x14ac:dyDescent="0.3">
      <c r="A341" s="4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4" t="s">
        <v>51</v>
      </c>
      <c r="L341" s="29" t="str">
        <f t="shared" si="5"/>
        <v>Nitin - Desk</v>
      </c>
    </row>
    <row r="342" spans="1:12" ht="15.6" x14ac:dyDescent="0.3">
      <c r="A342" s="4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4" t="s">
        <v>20</v>
      </c>
      <c r="L342" s="29" t="str">
        <f t="shared" si="5"/>
        <v>Sara - Desk</v>
      </c>
    </row>
    <row r="343" spans="1:12" ht="15.6" x14ac:dyDescent="0.3">
      <c r="A343" s="4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4" t="s">
        <v>29</v>
      </c>
      <c r="L343" s="29" t="str">
        <f t="shared" si="5"/>
        <v>Anita - Printer</v>
      </c>
    </row>
    <row r="344" spans="1:12" ht="15.6" x14ac:dyDescent="0.3">
      <c r="A344" s="4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4" t="s">
        <v>15</v>
      </c>
      <c r="L344" s="29" t="str">
        <f t="shared" si="5"/>
        <v>Anita - Keyboard</v>
      </c>
    </row>
    <row r="345" spans="1:12" ht="15.6" x14ac:dyDescent="0.3">
      <c r="A345" s="4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4" t="s">
        <v>24</v>
      </c>
      <c r="L345" s="29" t="str">
        <f t="shared" si="5"/>
        <v>Neha - Diary</v>
      </c>
    </row>
    <row r="346" spans="1:12" ht="15.6" x14ac:dyDescent="0.3">
      <c r="A346" s="4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4" t="s">
        <v>29</v>
      </c>
      <c r="L346" s="29" t="str">
        <f t="shared" si="5"/>
        <v>Asha - Monitor</v>
      </c>
    </row>
    <row r="347" spans="1:12" ht="15.6" x14ac:dyDescent="0.3">
      <c r="A347" s="4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4" t="s">
        <v>29</v>
      </c>
      <c r="L347" s="29" t="str">
        <f t="shared" si="5"/>
        <v>Asha - Desk</v>
      </c>
    </row>
    <row r="348" spans="1:12" ht="15.6" x14ac:dyDescent="0.3">
      <c r="A348" s="4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4" t="s">
        <v>24</v>
      </c>
      <c r="L348" s="29" t="str">
        <f t="shared" si="5"/>
        <v>Priya - Printer</v>
      </c>
    </row>
    <row r="349" spans="1:12" ht="15.6" x14ac:dyDescent="0.3">
      <c r="A349" s="4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4" t="s">
        <v>15</v>
      </c>
      <c r="L349" s="29" t="str">
        <f t="shared" si="5"/>
        <v>Ritesh - Marker</v>
      </c>
    </row>
    <row r="350" spans="1:12" ht="15.6" x14ac:dyDescent="0.3">
      <c r="A350" s="4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4" t="s">
        <v>20</v>
      </c>
      <c r="L350" s="29" t="str">
        <f t="shared" si="5"/>
        <v>Deepak - Printer</v>
      </c>
    </row>
    <row r="351" spans="1:12" ht="15.6" x14ac:dyDescent="0.3">
      <c r="A351" s="4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4" t="s">
        <v>29</v>
      </c>
      <c r="L351" s="29" t="str">
        <f t="shared" si="5"/>
        <v>Vikram - Chair</v>
      </c>
    </row>
    <row r="352" spans="1:12" ht="15.6" x14ac:dyDescent="0.3">
      <c r="A352" s="4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4" t="s">
        <v>15</v>
      </c>
      <c r="L352" s="29" t="str">
        <f t="shared" si="5"/>
        <v>Nisha - Monitor</v>
      </c>
    </row>
    <row r="353" spans="1:12" ht="15.6" x14ac:dyDescent="0.3">
      <c r="A353" s="4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4" t="s">
        <v>15</v>
      </c>
      <c r="L353" s="29" t="str">
        <f t="shared" si="5"/>
        <v>Manoj - Notebook</v>
      </c>
    </row>
    <row r="354" spans="1:12" ht="15.6" x14ac:dyDescent="0.3">
      <c r="A354" s="4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4" t="s">
        <v>24</v>
      </c>
      <c r="L354" s="29" t="str">
        <f t="shared" si="5"/>
        <v>Yash - Notebook</v>
      </c>
    </row>
    <row r="355" spans="1:12" ht="15.6" x14ac:dyDescent="0.3">
      <c r="A355" s="4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4" t="s">
        <v>51</v>
      </c>
      <c r="L355" s="29" t="str">
        <f t="shared" si="5"/>
        <v>Yash - Printer</v>
      </c>
    </row>
    <row r="356" spans="1:12" ht="15.6" x14ac:dyDescent="0.3">
      <c r="A356" s="4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4" t="s">
        <v>51</v>
      </c>
      <c r="L356" s="29" t="str">
        <f t="shared" si="5"/>
        <v>Arjun - Laptop</v>
      </c>
    </row>
    <row r="357" spans="1:12" ht="15.6" x14ac:dyDescent="0.3">
      <c r="A357" s="4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4" t="s">
        <v>15</v>
      </c>
      <c r="L357" s="29" t="str">
        <f t="shared" si="5"/>
        <v>Vikram - Laptop</v>
      </c>
    </row>
    <row r="358" spans="1:12" ht="15.6" x14ac:dyDescent="0.3">
      <c r="A358" s="4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4" t="s">
        <v>51</v>
      </c>
      <c r="L358" s="29" t="str">
        <f t="shared" si="5"/>
        <v>Anita - Pen Pack</v>
      </c>
    </row>
    <row r="359" spans="1:12" ht="15.6" x14ac:dyDescent="0.3">
      <c r="A359" s="4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4" t="s">
        <v>20</v>
      </c>
      <c r="L359" s="29" t="str">
        <f t="shared" si="5"/>
        <v>Deepak - Desk</v>
      </c>
    </row>
    <row r="360" spans="1:12" ht="15.6" x14ac:dyDescent="0.3">
      <c r="A360" s="4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4" t="s">
        <v>15</v>
      </c>
      <c r="L360" s="29" t="str">
        <f t="shared" si="5"/>
        <v>Manoj - Mouse</v>
      </c>
    </row>
    <row r="361" spans="1:12" ht="15.6" x14ac:dyDescent="0.3">
      <c r="A361" s="4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4" t="s">
        <v>15</v>
      </c>
      <c r="L361" s="29" t="str">
        <f t="shared" si="5"/>
        <v>Ritesh - Table</v>
      </c>
    </row>
    <row r="362" spans="1:12" ht="15.6" x14ac:dyDescent="0.3">
      <c r="A362" s="4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4" t="s">
        <v>20</v>
      </c>
      <c r="L362" s="29" t="str">
        <f t="shared" si="5"/>
        <v>Nisha - Table</v>
      </c>
    </row>
    <row r="363" spans="1:12" ht="15.6" x14ac:dyDescent="0.3">
      <c r="A363" s="4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4" t="s">
        <v>29</v>
      </c>
      <c r="L363" s="29" t="str">
        <f t="shared" si="5"/>
        <v>Pooja - Chair</v>
      </c>
    </row>
    <row r="364" spans="1:12" ht="15.6" x14ac:dyDescent="0.3">
      <c r="A364" s="4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4" t="s">
        <v>15</v>
      </c>
      <c r="L364" s="29" t="str">
        <f t="shared" si="5"/>
        <v>Arjun - Printer</v>
      </c>
    </row>
    <row r="365" spans="1:12" ht="15.6" x14ac:dyDescent="0.3">
      <c r="A365" s="4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4" t="s">
        <v>51</v>
      </c>
      <c r="L365" s="29" t="str">
        <f t="shared" si="5"/>
        <v>Neha - Cabinet</v>
      </c>
    </row>
    <row r="366" spans="1:12" ht="15.6" x14ac:dyDescent="0.3">
      <c r="A366" s="4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4" t="s">
        <v>20</v>
      </c>
      <c r="L366" s="29" t="str">
        <f t="shared" si="5"/>
        <v>Kiran - Marker</v>
      </c>
    </row>
    <row r="367" spans="1:12" ht="15.6" x14ac:dyDescent="0.3">
      <c r="A367" s="4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4" t="s">
        <v>29</v>
      </c>
      <c r="L367" s="29" t="str">
        <f t="shared" si="5"/>
        <v>Vikram - Mouse</v>
      </c>
    </row>
    <row r="368" spans="1:12" ht="15.6" x14ac:dyDescent="0.3">
      <c r="A368" s="4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4" t="s">
        <v>29</v>
      </c>
      <c r="L368" s="29" t="str">
        <f t="shared" si="5"/>
        <v>Manoj - Diary</v>
      </c>
    </row>
    <row r="369" spans="1:12" ht="15.6" x14ac:dyDescent="0.3">
      <c r="A369" s="4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4" t="s">
        <v>24</v>
      </c>
      <c r="L369" s="29" t="str">
        <f t="shared" si="5"/>
        <v>Sneha - Stapler</v>
      </c>
    </row>
    <row r="370" spans="1:12" ht="15.6" x14ac:dyDescent="0.3">
      <c r="A370" s="4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4" t="s">
        <v>15</v>
      </c>
      <c r="L370" s="29" t="str">
        <f t="shared" si="5"/>
        <v>Sara - Desk</v>
      </c>
    </row>
    <row r="371" spans="1:12" ht="15.6" x14ac:dyDescent="0.3">
      <c r="A371" s="4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4" t="s">
        <v>15</v>
      </c>
      <c r="L371" s="29" t="str">
        <f t="shared" si="5"/>
        <v>Anita - Diary</v>
      </c>
    </row>
    <row r="372" spans="1:12" ht="15.6" x14ac:dyDescent="0.3">
      <c r="A372" s="4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4" t="s">
        <v>20</v>
      </c>
      <c r="L372" s="29" t="str">
        <f t="shared" si="5"/>
        <v>Nitin - Desk</v>
      </c>
    </row>
    <row r="373" spans="1:12" ht="15.6" x14ac:dyDescent="0.3">
      <c r="A373" s="4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4" t="s">
        <v>15</v>
      </c>
      <c r="L373" s="29" t="str">
        <f t="shared" si="5"/>
        <v>Nitin - Keyboard</v>
      </c>
    </row>
    <row r="374" spans="1:12" ht="15.6" x14ac:dyDescent="0.3">
      <c r="A374" s="4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4" t="s">
        <v>20</v>
      </c>
      <c r="L374" s="29" t="str">
        <f t="shared" si="5"/>
        <v>Manoj - Laptop</v>
      </c>
    </row>
    <row r="375" spans="1:12" ht="15.6" x14ac:dyDescent="0.3">
      <c r="A375" s="4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4" t="s">
        <v>51</v>
      </c>
      <c r="L375" s="29" t="str">
        <f t="shared" si="5"/>
        <v>Sara - Printer</v>
      </c>
    </row>
    <row r="376" spans="1:12" ht="15.6" x14ac:dyDescent="0.3">
      <c r="A376" s="4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4" t="s">
        <v>24</v>
      </c>
      <c r="L376" s="29" t="str">
        <f t="shared" si="5"/>
        <v>Kiran - Monitor</v>
      </c>
    </row>
    <row r="377" spans="1:12" ht="15.6" x14ac:dyDescent="0.3">
      <c r="A377" s="4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4" t="s">
        <v>20</v>
      </c>
      <c r="L377" s="29" t="str">
        <f t="shared" si="5"/>
        <v>Komal - Marker</v>
      </c>
    </row>
    <row r="378" spans="1:12" ht="15.6" x14ac:dyDescent="0.3">
      <c r="A378" s="4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4" t="s">
        <v>24</v>
      </c>
      <c r="L378" s="29" t="str">
        <f t="shared" si="5"/>
        <v>Asha - Desk</v>
      </c>
    </row>
    <row r="379" spans="1:12" ht="15.6" x14ac:dyDescent="0.3">
      <c r="A379" s="4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4" t="s">
        <v>51</v>
      </c>
      <c r="L379" s="29" t="str">
        <f t="shared" si="5"/>
        <v>Sneha - Monitor</v>
      </c>
    </row>
    <row r="380" spans="1:12" ht="15.6" x14ac:dyDescent="0.3">
      <c r="A380" s="4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4" t="s">
        <v>20</v>
      </c>
      <c r="L380" s="29" t="str">
        <f t="shared" si="5"/>
        <v>Yash - Notebook</v>
      </c>
    </row>
    <row r="381" spans="1:12" ht="15.6" x14ac:dyDescent="0.3">
      <c r="A381" s="4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4" t="s">
        <v>24</v>
      </c>
      <c r="L381" s="29" t="str">
        <f t="shared" si="5"/>
        <v>Komal - Diary</v>
      </c>
    </row>
    <row r="382" spans="1:12" ht="15.6" x14ac:dyDescent="0.3">
      <c r="A382" s="4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4" t="s">
        <v>20</v>
      </c>
      <c r="L382" s="29" t="str">
        <f t="shared" si="5"/>
        <v>Sneha - Chair</v>
      </c>
    </row>
    <row r="383" spans="1:12" ht="15.6" x14ac:dyDescent="0.3">
      <c r="A383" s="4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4" t="s">
        <v>15</v>
      </c>
      <c r="L383" s="29" t="str">
        <f t="shared" si="5"/>
        <v>Ajay - Laptop</v>
      </c>
    </row>
    <row r="384" spans="1:12" ht="15.6" x14ac:dyDescent="0.3">
      <c r="A384" s="4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4" t="s">
        <v>15</v>
      </c>
      <c r="L384" s="29" t="str">
        <f t="shared" si="5"/>
        <v>Asha - Diary</v>
      </c>
    </row>
    <row r="385" spans="1:12" ht="15.6" x14ac:dyDescent="0.3">
      <c r="A385" s="4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4" t="s">
        <v>29</v>
      </c>
      <c r="L385" s="29" t="str">
        <f t="shared" si="5"/>
        <v>Anita - Keyboard</v>
      </c>
    </row>
    <row r="386" spans="1:12" ht="15.6" x14ac:dyDescent="0.3">
      <c r="A386" s="4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4" t="s">
        <v>51</v>
      </c>
      <c r="L386" s="29" t="str">
        <f t="shared" si="5"/>
        <v>Vikram - Keyboard</v>
      </c>
    </row>
    <row r="387" spans="1:12" ht="15.6" x14ac:dyDescent="0.3">
      <c r="A387" s="4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4" t="s">
        <v>51</v>
      </c>
      <c r="L387" s="29" t="str">
        <f t="shared" ref="L387:L403" si="6">B387&amp;" - "&amp;E387</f>
        <v>Arjun - Chair</v>
      </c>
    </row>
    <row r="388" spans="1:12" ht="15.6" x14ac:dyDescent="0.3">
      <c r="A388" s="4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4" t="s">
        <v>24</v>
      </c>
      <c r="L388" s="29" t="str">
        <f t="shared" si="6"/>
        <v>Manoj - Printer</v>
      </c>
    </row>
    <row r="389" spans="1:12" ht="15.6" x14ac:dyDescent="0.3">
      <c r="A389" s="4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4" t="s">
        <v>20</v>
      </c>
      <c r="L389" s="29" t="str">
        <f t="shared" si="6"/>
        <v>Sneha - Chair</v>
      </c>
    </row>
    <row r="390" spans="1:12" ht="15.6" x14ac:dyDescent="0.3">
      <c r="A390" s="4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4" t="s">
        <v>51</v>
      </c>
      <c r="L390" s="29" t="str">
        <f t="shared" si="6"/>
        <v>Asha - Headset</v>
      </c>
    </row>
    <row r="391" spans="1:12" ht="15.6" x14ac:dyDescent="0.3">
      <c r="A391" s="4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4" t="s">
        <v>51</v>
      </c>
      <c r="L391" s="29" t="str">
        <f t="shared" si="6"/>
        <v>Rohan - Desk</v>
      </c>
    </row>
    <row r="392" spans="1:12" ht="15.6" x14ac:dyDescent="0.3">
      <c r="A392" s="4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4" t="s">
        <v>24</v>
      </c>
      <c r="L392" s="29" t="str">
        <f t="shared" si="6"/>
        <v>Neha - Printer</v>
      </c>
    </row>
    <row r="393" spans="1:12" ht="15.6" x14ac:dyDescent="0.3">
      <c r="A393" s="4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4" t="s">
        <v>29</v>
      </c>
      <c r="L393" s="29" t="str">
        <f t="shared" si="6"/>
        <v>Priya - Printer</v>
      </c>
    </row>
    <row r="394" spans="1:12" ht="15.6" x14ac:dyDescent="0.3">
      <c r="A394" s="4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4" t="s">
        <v>51</v>
      </c>
      <c r="L394" s="29" t="str">
        <f t="shared" si="6"/>
        <v>Neha - Monitor</v>
      </c>
    </row>
    <row r="395" spans="1:12" ht="15.6" x14ac:dyDescent="0.3">
      <c r="A395" s="4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4" t="s">
        <v>15</v>
      </c>
      <c r="L395" s="29" t="str">
        <f t="shared" si="6"/>
        <v>Manoj - Notebook</v>
      </c>
    </row>
    <row r="396" spans="1:12" ht="15.6" x14ac:dyDescent="0.3">
      <c r="A396" s="4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4" t="s">
        <v>29</v>
      </c>
      <c r="L396" s="29" t="str">
        <f t="shared" si="6"/>
        <v>Manoj - Bookshelf</v>
      </c>
    </row>
    <row r="397" spans="1:12" ht="15.6" x14ac:dyDescent="0.3">
      <c r="A397" s="4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4" t="s">
        <v>15</v>
      </c>
      <c r="L397" s="29" t="str">
        <f t="shared" si="6"/>
        <v>Meera - Diary</v>
      </c>
    </row>
    <row r="398" spans="1:12" ht="15.6" x14ac:dyDescent="0.3">
      <c r="A398" s="4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4" t="s">
        <v>51</v>
      </c>
      <c r="L398" s="29" t="str">
        <f t="shared" si="6"/>
        <v>Meera - Table</v>
      </c>
    </row>
    <row r="399" spans="1:12" ht="15.6" x14ac:dyDescent="0.3">
      <c r="A399" s="4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4" t="s">
        <v>15</v>
      </c>
      <c r="L399" s="29" t="str">
        <f t="shared" si="6"/>
        <v>Rohan - Keyboard</v>
      </c>
    </row>
    <row r="400" spans="1:12" ht="15.6" x14ac:dyDescent="0.3">
      <c r="A400" s="4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4" t="s">
        <v>20</v>
      </c>
      <c r="L400" s="29" t="str">
        <f t="shared" si="6"/>
        <v>Nitin - Notebook</v>
      </c>
    </row>
    <row r="401" spans="1:12" ht="15.6" x14ac:dyDescent="0.3">
      <c r="A401" s="4">
        <v>1400</v>
      </c>
      <c r="B401" s="4" t="s">
        <v>40</v>
      </c>
      <c r="C401" s="4" t="s">
        <v>22</v>
      </c>
      <c r="D401" s="4" t="s">
        <v>34</v>
      </c>
      <c r="E401" s="4" t="s">
        <v>35</v>
      </c>
      <c r="F401" s="4">
        <v>13</v>
      </c>
      <c r="G401" s="4">
        <v>52411</v>
      </c>
      <c r="H401" s="4">
        <v>15</v>
      </c>
      <c r="I401" s="5">
        <v>46090</v>
      </c>
      <c r="J401" s="5">
        <v>46092</v>
      </c>
      <c r="K401" s="4" t="s">
        <v>20</v>
      </c>
      <c r="L401" s="29" t="str">
        <f t="shared" si="6"/>
        <v>Deepak - Printer</v>
      </c>
    </row>
    <row r="402" spans="1:12" x14ac:dyDescent="0.3">
      <c r="L402" s="1"/>
    </row>
    <row r="403" spans="1:12" x14ac:dyDescent="0.3">
      <c r="L40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3090-D7B6-44FF-B232-AC297D7D8ED4}">
  <dimension ref="A1:N401"/>
  <sheetViews>
    <sheetView workbookViewId="0">
      <selection activeCell="R13" sqref="R13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7.33203125" bestFit="1" customWidth="1"/>
    <col min="13" max="13" width="15.21875" bestFit="1" customWidth="1"/>
    <col min="14" max="14" width="22.6640625" bestFit="1" customWidth="1"/>
  </cols>
  <sheetData>
    <row r="1" spans="1:14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3" t="s">
        <v>10</v>
      </c>
      <c r="L1" s="32" t="s">
        <v>73</v>
      </c>
      <c r="M1" s="32" t="s">
        <v>74</v>
      </c>
      <c r="N1" s="32" t="s">
        <v>75</v>
      </c>
    </row>
    <row r="2" spans="1:14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31" t="str">
        <f>LEFT(B2,3)&amp;A2</f>
        <v>Rit1001</v>
      </c>
      <c r="M2" s="31" t="str">
        <f>LEFT(E2,3)&amp;RIGHT(E2,2)</f>
        <v>Notok</v>
      </c>
      <c r="N2" s="31" t="str">
        <f>MID(E2,2,4)</f>
        <v>oteb</v>
      </c>
    </row>
    <row r="3" spans="1:14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31" t="str">
        <f t="shared" ref="L3:L66" si="0">LEFT(B3,3)&amp;A3</f>
        <v>Poo1002</v>
      </c>
      <c r="M3" s="31" t="str">
        <f t="shared" ref="M3:M66" si="1">LEFT(E3,3)&amp;RIGHT(E3,2)</f>
        <v>Dessk</v>
      </c>
      <c r="N3" s="31" t="str">
        <f t="shared" ref="N3:N66" si="2">MID(E3,2,4)</f>
        <v>esk</v>
      </c>
    </row>
    <row r="4" spans="1:14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31" t="str">
        <f t="shared" si="0"/>
        <v>Mee1003</v>
      </c>
      <c r="M4" s="31" t="str">
        <f t="shared" si="1"/>
        <v>Table</v>
      </c>
      <c r="N4" s="31" t="str">
        <f t="shared" si="2"/>
        <v>able</v>
      </c>
    </row>
    <row r="5" spans="1:14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31" t="str">
        <f t="shared" si="0"/>
        <v>Poo1004</v>
      </c>
      <c r="M5" s="31" t="str">
        <f t="shared" si="1"/>
        <v>Table</v>
      </c>
      <c r="N5" s="31" t="str">
        <f t="shared" si="2"/>
        <v>able</v>
      </c>
    </row>
    <row r="6" spans="1:14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31" t="str">
        <f t="shared" si="0"/>
        <v>Vik1005</v>
      </c>
      <c r="M6" s="31" t="str">
        <f t="shared" si="1"/>
        <v>Notok</v>
      </c>
      <c r="N6" s="31" t="str">
        <f t="shared" si="2"/>
        <v>oteb</v>
      </c>
    </row>
    <row r="7" spans="1:14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31" t="str">
        <f t="shared" si="0"/>
        <v>Arj1006</v>
      </c>
      <c r="M7" s="31" t="str">
        <f t="shared" si="1"/>
        <v>Chair</v>
      </c>
      <c r="N7" s="31" t="str">
        <f t="shared" si="2"/>
        <v>hair</v>
      </c>
    </row>
    <row r="8" spans="1:14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31" t="str">
        <f t="shared" si="0"/>
        <v>Mee1007</v>
      </c>
      <c r="M8" s="31" t="str">
        <f t="shared" si="1"/>
        <v>Notok</v>
      </c>
      <c r="N8" s="31" t="str">
        <f t="shared" si="2"/>
        <v>oteb</v>
      </c>
    </row>
    <row r="9" spans="1:14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31" t="str">
        <f t="shared" si="0"/>
        <v>Neh1008</v>
      </c>
      <c r="M9" s="31" t="str">
        <f t="shared" si="1"/>
        <v>Chair</v>
      </c>
      <c r="N9" s="31" t="str">
        <f t="shared" si="2"/>
        <v>hair</v>
      </c>
    </row>
    <row r="10" spans="1:14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31" t="str">
        <f t="shared" si="0"/>
        <v>Ash1009</v>
      </c>
      <c r="M10" s="31" t="str">
        <f t="shared" si="1"/>
        <v>Prier</v>
      </c>
      <c r="N10" s="31" t="str">
        <f t="shared" si="2"/>
        <v>rint</v>
      </c>
    </row>
    <row r="11" spans="1:14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31" t="str">
        <f t="shared" si="0"/>
        <v>Rit1010</v>
      </c>
      <c r="M11" s="31" t="str">
        <f t="shared" si="1"/>
        <v>Staer</v>
      </c>
      <c r="N11" s="31" t="str">
        <f t="shared" si="2"/>
        <v>tapl</v>
      </c>
    </row>
    <row r="12" spans="1:14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31" t="str">
        <f t="shared" si="0"/>
        <v>Rit1011</v>
      </c>
      <c r="M12" s="31" t="str">
        <f t="shared" si="1"/>
        <v>Penck</v>
      </c>
      <c r="N12" s="31" t="str">
        <f t="shared" si="2"/>
        <v>en P</v>
      </c>
    </row>
    <row r="13" spans="1:14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31" t="str">
        <f t="shared" si="0"/>
        <v>Vik1012</v>
      </c>
      <c r="M13" s="31" t="str">
        <f t="shared" si="1"/>
        <v>Keyrd</v>
      </c>
      <c r="N13" s="31" t="str">
        <f t="shared" si="2"/>
        <v>eybo</v>
      </c>
    </row>
    <row r="14" spans="1:14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31" t="str">
        <f t="shared" si="0"/>
        <v>Poo1013</v>
      </c>
      <c r="M14" s="31" t="str">
        <f t="shared" si="1"/>
        <v>Staer</v>
      </c>
      <c r="N14" s="31" t="str">
        <f t="shared" si="2"/>
        <v>tapl</v>
      </c>
    </row>
    <row r="15" spans="1:14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31" t="str">
        <f t="shared" si="0"/>
        <v>Dee1014</v>
      </c>
      <c r="M15" s="31" t="str">
        <f t="shared" si="1"/>
        <v>Heaet</v>
      </c>
      <c r="N15" s="31" t="str">
        <f t="shared" si="2"/>
        <v>eads</v>
      </c>
    </row>
    <row r="16" spans="1:14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31" t="str">
        <f t="shared" si="0"/>
        <v>Nis1015</v>
      </c>
      <c r="M16" s="31" t="str">
        <f t="shared" si="1"/>
        <v>Boolf</v>
      </c>
      <c r="N16" s="31" t="str">
        <f t="shared" si="2"/>
        <v>ooks</v>
      </c>
    </row>
    <row r="17" spans="1:14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31" t="str">
        <f t="shared" si="0"/>
        <v>Ash1016</v>
      </c>
      <c r="M17" s="31" t="str">
        <f t="shared" si="1"/>
        <v>Monor</v>
      </c>
      <c r="N17" s="31" t="str">
        <f t="shared" si="2"/>
        <v>onit</v>
      </c>
    </row>
    <row r="18" spans="1:14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31" t="str">
        <f t="shared" si="0"/>
        <v>Kir1017</v>
      </c>
      <c r="M18" s="31" t="str">
        <f t="shared" si="1"/>
        <v>Staer</v>
      </c>
      <c r="N18" s="31" t="str">
        <f t="shared" si="2"/>
        <v>tapl</v>
      </c>
    </row>
    <row r="19" spans="1:14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31" t="str">
        <f t="shared" si="0"/>
        <v>Yas1018</v>
      </c>
      <c r="M19" s="31" t="str">
        <f t="shared" si="1"/>
        <v>Notok</v>
      </c>
      <c r="N19" s="31" t="str">
        <f t="shared" si="2"/>
        <v>oteb</v>
      </c>
    </row>
    <row r="20" spans="1:14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31" t="str">
        <f t="shared" si="0"/>
        <v>Rit1019</v>
      </c>
      <c r="M20" s="31" t="str">
        <f t="shared" si="1"/>
        <v>Heaet</v>
      </c>
      <c r="N20" s="31" t="str">
        <f t="shared" si="2"/>
        <v>eads</v>
      </c>
    </row>
    <row r="21" spans="1:14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31" t="str">
        <f t="shared" si="0"/>
        <v>Kir1020</v>
      </c>
      <c r="M21" s="31" t="str">
        <f t="shared" si="1"/>
        <v>Dessk</v>
      </c>
      <c r="N21" s="31" t="str">
        <f t="shared" si="2"/>
        <v>esk</v>
      </c>
    </row>
    <row r="22" spans="1:14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31" t="str">
        <f t="shared" si="0"/>
        <v>Nit1021</v>
      </c>
      <c r="M22" s="31" t="str">
        <f t="shared" si="1"/>
        <v>Notok</v>
      </c>
      <c r="N22" s="31" t="str">
        <f t="shared" si="2"/>
        <v>oteb</v>
      </c>
    </row>
    <row r="23" spans="1:14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31" t="str">
        <f t="shared" si="0"/>
        <v>Vik1022</v>
      </c>
      <c r="M23" s="31" t="str">
        <f t="shared" si="1"/>
        <v>Monor</v>
      </c>
      <c r="N23" s="31" t="str">
        <f t="shared" si="2"/>
        <v>onit</v>
      </c>
    </row>
    <row r="24" spans="1:14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31" t="str">
        <f t="shared" si="0"/>
        <v>Dee1023</v>
      </c>
      <c r="M24" s="31" t="str">
        <f t="shared" si="1"/>
        <v>Boolf</v>
      </c>
      <c r="N24" s="31" t="str">
        <f t="shared" si="2"/>
        <v>ooks</v>
      </c>
    </row>
    <row r="25" spans="1:14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31" t="str">
        <f t="shared" si="0"/>
        <v>Ash1024</v>
      </c>
      <c r="M25" s="31" t="str">
        <f t="shared" si="1"/>
        <v>Heaet</v>
      </c>
      <c r="N25" s="31" t="str">
        <f t="shared" si="2"/>
        <v>eads</v>
      </c>
    </row>
    <row r="26" spans="1:14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31" t="str">
        <f t="shared" si="0"/>
        <v>Mee1025</v>
      </c>
      <c r="M26" s="31" t="str">
        <f t="shared" si="1"/>
        <v>Dessk</v>
      </c>
      <c r="N26" s="31" t="str">
        <f t="shared" si="2"/>
        <v>esk</v>
      </c>
    </row>
    <row r="27" spans="1:14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31" t="str">
        <f t="shared" si="0"/>
        <v>Aja1026</v>
      </c>
      <c r="M27" s="31" t="str">
        <f t="shared" si="1"/>
        <v>Marer</v>
      </c>
      <c r="N27" s="31" t="str">
        <f t="shared" si="2"/>
        <v>arke</v>
      </c>
    </row>
    <row r="28" spans="1:14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31" t="str">
        <f t="shared" si="0"/>
        <v>Pri1027</v>
      </c>
      <c r="M28" s="31" t="str">
        <f t="shared" si="1"/>
        <v>Marer</v>
      </c>
      <c r="N28" s="31" t="str">
        <f t="shared" si="2"/>
        <v>arke</v>
      </c>
    </row>
    <row r="29" spans="1:14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31" t="str">
        <f t="shared" si="0"/>
        <v>Yas1028</v>
      </c>
      <c r="M29" s="31" t="str">
        <f t="shared" si="1"/>
        <v>Staer</v>
      </c>
      <c r="N29" s="31" t="str">
        <f t="shared" si="2"/>
        <v>tapl</v>
      </c>
    </row>
    <row r="30" spans="1:14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31" t="str">
        <f t="shared" si="0"/>
        <v>Neh1029</v>
      </c>
      <c r="M30" s="31" t="str">
        <f t="shared" si="1"/>
        <v>Staer</v>
      </c>
      <c r="N30" s="31" t="str">
        <f t="shared" si="2"/>
        <v>tapl</v>
      </c>
    </row>
    <row r="31" spans="1:14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31" t="str">
        <f t="shared" si="0"/>
        <v>Kom1030</v>
      </c>
      <c r="M31" s="31" t="str">
        <f t="shared" si="1"/>
        <v>Diary</v>
      </c>
      <c r="N31" s="31" t="str">
        <f t="shared" si="2"/>
        <v>iary</v>
      </c>
    </row>
    <row r="32" spans="1:14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31" t="str">
        <f t="shared" si="0"/>
        <v>Man1031</v>
      </c>
      <c r="M32" s="31" t="str">
        <f t="shared" si="1"/>
        <v>Diary</v>
      </c>
      <c r="N32" s="31" t="str">
        <f t="shared" si="2"/>
        <v>iary</v>
      </c>
    </row>
    <row r="33" spans="1:14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31" t="str">
        <f t="shared" si="0"/>
        <v>Man1032</v>
      </c>
      <c r="M33" s="31" t="str">
        <f t="shared" si="1"/>
        <v>Keyrd</v>
      </c>
      <c r="N33" s="31" t="str">
        <f t="shared" si="2"/>
        <v>eybo</v>
      </c>
    </row>
    <row r="34" spans="1:14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31" t="str">
        <f t="shared" si="0"/>
        <v>Rit1033</v>
      </c>
      <c r="M34" s="31" t="str">
        <f t="shared" si="1"/>
        <v>Dessk</v>
      </c>
      <c r="N34" s="31" t="str">
        <f t="shared" si="2"/>
        <v>esk</v>
      </c>
    </row>
    <row r="35" spans="1:14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31" t="str">
        <f t="shared" si="0"/>
        <v>Sne1034</v>
      </c>
      <c r="M35" s="31" t="str">
        <f t="shared" si="1"/>
        <v>Chair</v>
      </c>
      <c r="N35" s="31" t="str">
        <f t="shared" si="2"/>
        <v>hair</v>
      </c>
    </row>
    <row r="36" spans="1:14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31" t="str">
        <f t="shared" si="0"/>
        <v>Aja1035</v>
      </c>
      <c r="M36" s="31" t="str">
        <f t="shared" si="1"/>
        <v>Cabet</v>
      </c>
      <c r="N36" s="31" t="str">
        <f t="shared" si="2"/>
        <v>abin</v>
      </c>
    </row>
    <row r="37" spans="1:14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31" t="str">
        <f t="shared" si="0"/>
        <v>Rit1036</v>
      </c>
      <c r="M37" s="31" t="str">
        <f t="shared" si="1"/>
        <v>Staer</v>
      </c>
      <c r="N37" s="31" t="str">
        <f t="shared" si="2"/>
        <v>tapl</v>
      </c>
    </row>
    <row r="38" spans="1:14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31" t="str">
        <f t="shared" si="0"/>
        <v>Kir1037</v>
      </c>
      <c r="M38" s="31" t="str">
        <f t="shared" si="1"/>
        <v>Cabet</v>
      </c>
      <c r="N38" s="31" t="str">
        <f t="shared" si="2"/>
        <v>abin</v>
      </c>
    </row>
    <row r="39" spans="1:14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31" t="str">
        <f t="shared" si="0"/>
        <v>Sne1038</v>
      </c>
      <c r="M39" s="31" t="str">
        <f t="shared" si="1"/>
        <v>Staer</v>
      </c>
      <c r="N39" s="31" t="str">
        <f t="shared" si="2"/>
        <v>tapl</v>
      </c>
    </row>
    <row r="40" spans="1:14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31" t="str">
        <f t="shared" si="0"/>
        <v>Nit1039</v>
      </c>
      <c r="M40" s="31" t="str">
        <f t="shared" si="1"/>
        <v>Monor</v>
      </c>
      <c r="N40" s="31" t="str">
        <f t="shared" si="2"/>
        <v>onit</v>
      </c>
    </row>
    <row r="41" spans="1:14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31" t="str">
        <f t="shared" si="0"/>
        <v>Aja1040</v>
      </c>
      <c r="M41" s="31" t="str">
        <f t="shared" si="1"/>
        <v>Chair</v>
      </c>
      <c r="N41" s="31" t="str">
        <f t="shared" si="2"/>
        <v>hair</v>
      </c>
    </row>
    <row r="42" spans="1:14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31" t="str">
        <f t="shared" si="0"/>
        <v>Man1041</v>
      </c>
      <c r="M42" s="31" t="str">
        <f t="shared" si="1"/>
        <v>Marer</v>
      </c>
      <c r="N42" s="31" t="str">
        <f t="shared" si="2"/>
        <v>arke</v>
      </c>
    </row>
    <row r="43" spans="1:14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31" t="str">
        <f t="shared" si="0"/>
        <v>Kir1042</v>
      </c>
      <c r="M43" s="31" t="str">
        <f t="shared" si="1"/>
        <v>Diary</v>
      </c>
      <c r="N43" s="31" t="str">
        <f t="shared" si="2"/>
        <v>iary</v>
      </c>
    </row>
    <row r="44" spans="1:14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31" t="str">
        <f t="shared" si="0"/>
        <v>Aja1043</v>
      </c>
      <c r="M44" s="31" t="str">
        <f t="shared" si="1"/>
        <v>Prier</v>
      </c>
      <c r="N44" s="31" t="str">
        <f t="shared" si="2"/>
        <v>rint</v>
      </c>
    </row>
    <row r="45" spans="1:14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31" t="str">
        <f t="shared" si="0"/>
        <v>Nit1044</v>
      </c>
      <c r="M45" s="31" t="str">
        <f t="shared" si="1"/>
        <v>Dessk</v>
      </c>
      <c r="N45" s="31" t="str">
        <f t="shared" si="2"/>
        <v>esk</v>
      </c>
    </row>
    <row r="46" spans="1:14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31" t="str">
        <f t="shared" si="0"/>
        <v>Ash1045</v>
      </c>
      <c r="M46" s="31" t="str">
        <f t="shared" si="1"/>
        <v>Prier</v>
      </c>
      <c r="N46" s="31" t="str">
        <f t="shared" si="2"/>
        <v>rint</v>
      </c>
    </row>
    <row r="47" spans="1:14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31" t="str">
        <f t="shared" si="0"/>
        <v>Sar1046</v>
      </c>
      <c r="M47" s="31" t="str">
        <f t="shared" si="1"/>
        <v>Monor</v>
      </c>
      <c r="N47" s="31" t="str">
        <f t="shared" si="2"/>
        <v>onit</v>
      </c>
    </row>
    <row r="48" spans="1:14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31" t="str">
        <f t="shared" si="0"/>
        <v>Roh1047</v>
      </c>
      <c r="M48" s="31" t="str">
        <f t="shared" si="1"/>
        <v>Cabet</v>
      </c>
      <c r="N48" s="31" t="str">
        <f t="shared" si="2"/>
        <v>abin</v>
      </c>
    </row>
    <row r="49" spans="1:14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31" t="str">
        <f t="shared" si="0"/>
        <v>Ani1048</v>
      </c>
      <c r="M49" s="31" t="str">
        <f t="shared" si="1"/>
        <v>Lapop</v>
      </c>
      <c r="N49" s="31" t="str">
        <f t="shared" si="2"/>
        <v>apto</v>
      </c>
    </row>
    <row r="50" spans="1:14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31" t="str">
        <f t="shared" si="0"/>
        <v>Kom1049</v>
      </c>
      <c r="M50" s="31" t="str">
        <f t="shared" si="1"/>
        <v>Monor</v>
      </c>
      <c r="N50" s="31" t="str">
        <f t="shared" si="2"/>
        <v>onit</v>
      </c>
    </row>
    <row r="51" spans="1:14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31" t="str">
        <f t="shared" si="0"/>
        <v>Ash1050</v>
      </c>
      <c r="M51" s="31" t="str">
        <f t="shared" si="1"/>
        <v>Diary</v>
      </c>
      <c r="N51" s="31" t="str">
        <f t="shared" si="2"/>
        <v>iary</v>
      </c>
    </row>
    <row r="52" spans="1:14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31" t="str">
        <f t="shared" si="0"/>
        <v>Roh1051</v>
      </c>
      <c r="M52" s="31" t="str">
        <f t="shared" si="1"/>
        <v>Staer</v>
      </c>
      <c r="N52" s="31" t="str">
        <f t="shared" si="2"/>
        <v>tapl</v>
      </c>
    </row>
    <row r="53" spans="1:14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31" t="str">
        <f t="shared" si="0"/>
        <v>Sne1052</v>
      </c>
      <c r="M53" s="31" t="str">
        <f t="shared" si="1"/>
        <v>Notok</v>
      </c>
      <c r="N53" s="31" t="str">
        <f t="shared" si="2"/>
        <v>oteb</v>
      </c>
    </row>
    <row r="54" spans="1:14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31" t="str">
        <f t="shared" si="0"/>
        <v>Poo1053</v>
      </c>
      <c r="M54" s="31" t="str">
        <f t="shared" si="1"/>
        <v>Chair</v>
      </c>
      <c r="N54" s="31" t="str">
        <f t="shared" si="2"/>
        <v>hair</v>
      </c>
    </row>
    <row r="55" spans="1:14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31" t="str">
        <f t="shared" si="0"/>
        <v>Vik1054</v>
      </c>
      <c r="M55" s="31" t="str">
        <f t="shared" si="1"/>
        <v>Table</v>
      </c>
      <c r="N55" s="31" t="str">
        <f t="shared" si="2"/>
        <v>able</v>
      </c>
    </row>
    <row r="56" spans="1:14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31" t="str">
        <f t="shared" si="0"/>
        <v>Nit1055</v>
      </c>
      <c r="M56" s="31" t="str">
        <f t="shared" si="1"/>
        <v>Penck</v>
      </c>
      <c r="N56" s="31" t="str">
        <f t="shared" si="2"/>
        <v>en P</v>
      </c>
    </row>
    <row r="57" spans="1:14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31" t="str">
        <f t="shared" si="0"/>
        <v>Rit1056</v>
      </c>
      <c r="M57" s="31" t="str">
        <f t="shared" si="1"/>
        <v>Dessk</v>
      </c>
      <c r="N57" s="31" t="str">
        <f t="shared" si="2"/>
        <v>esk</v>
      </c>
    </row>
    <row r="58" spans="1:14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31" t="str">
        <f t="shared" si="0"/>
        <v>Ani1057</v>
      </c>
      <c r="M58" s="31" t="str">
        <f t="shared" si="1"/>
        <v>Chair</v>
      </c>
      <c r="N58" s="31" t="str">
        <f t="shared" si="2"/>
        <v>hair</v>
      </c>
    </row>
    <row r="59" spans="1:14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31" t="str">
        <f t="shared" si="0"/>
        <v>Kom1058</v>
      </c>
      <c r="M59" s="31" t="str">
        <f t="shared" si="1"/>
        <v>Chair</v>
      </c>
      <c r="N59" s="31" t="str">
        <f t="shared" si="2"/>
        <v>hair</v>
      </c>
    </row>
    <row r="60" spans="1:14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31" t="str">
        <f t="shared" si="0"/>
        <v>Man1059</v>
      </c>
      <c r="M60" s="31" t="str">
        <f t="shared" si="1"/>
        <v>Marer</v>
      </c>
      <c r="N60" s="31" t="str">
        <f t="shared" si="2"/>
        <v>arke</v>
      </c>
    </row>
    <row r="61" spans="1:14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31" t="str">
        <f t="shared" si="0"/>
        <v>Aja1060</v>
      </c>
      <c r="M61" s="31" t="str">
        <f t="shared" si="1"/>
        <v>Boolf</v>
      </c>
      <c r="N61" s="31" t="str">
        <f t="shared" si="2"/>
        <v>ooks</v>
      </c>
    </row>
    <row r="62" spans="1:14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31" t="str">
        <f t="shared" si="0"/>
        <v>Sar1061</v>
      </c>
      <c r="M62" s="31" t="str">
        <f t="shared" si="1"/>
        <v>Heaet</v>
      </c>
      <c r="N62" s="31" t="str">
        <f t="shared" si="2"/>
        <v>eads</v>
      </c>
    </row>
    <row r="63" spans="1:14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31" t="str">
        <f t="shared" si="0"/>
        <v>Dee1062</v>
      </c>
      <c r="M63" s="31" t="str">
        <f t="shared" si="1"/>
        <v>Table</v>
      </c>
      <c r="N63" s="31" t="str">
        <f t="shared" si="2"/>
        <v>able</v>
      </c>
    </row>
    <row r="64" spans="1:14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31" t="str">
        <f t="shared" si="0"/>
        <v>Man1063</v>
      </c>
      <c r="M64" s="31" t="str">
        <f t="shared" si="1"/>
        <v>Monor</v>
      </c>
      <c r="N64" s="31" t="str">
        <f t="shared" si="2"/>
        <v>onit</v>
      </c>
    </row>
    <row r="65" spans="1:14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31" t="str">
        <f t="shared" si="0"/>
        <v>Vik1064</v>
      </c>
      <c r="M65" s="31" t="str">
        <f t="shared" si="1"/>
        <v>Marer</v>
      </c>
      <c r="N65" s="31" t="str">
        <f t="shared" si="2"/>
        <v>arke</v>
      </c>
    </row>
    <row r="66" spans="1:14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31" t="str">
        <f t="shared" si="0"/>
        <v>Nis1065</v>
      </c>
      <c r="M66" s="31" t="str">
        <f t="shared" si="1"/>
        <v>Boolf</v>
      </c>
      <c r="N66" s="31" t="str">
        <f t="shared" si="2"/>
        <v>ooks</v>
      </c>
    </row>
    <row r="67" spans="1:14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31" t="str">
        <f t="shared" ref="L67:L130" si="3">LEFT(B67,3)&amp;A67</f>
        <v>Yas1066</v>
      </c>
      <c r="M67" s="31" t="str">
        <f t="shared" ref="M67:M130" si="4">LEFT(E67,3)&amp;RIGHT(E67,2)</f>
        <v>Boolf</v>
      </c>
      <c r="N67" s="31" t="str">
        <f t="shared" ref="N67:N130" si="5">MID(E67,2,4)</f>
        <v>ooks</v>
      </c>
    </row>
    <row r="68" spans="1:14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31" t="str">
        <f t="shared" si="3"/>
        <v>Ash1067</v>
      </c>
      <c r="M68" s="31" t="str">
        <f t="shared" si="4"/>
        <v>Cabet</v>
      </c>
      <c r="N68" s="31" t="str">
        <f t="shared" si="5"/>
        <v>abin</v>
      </c>
    </row>
    <row r="69" spans="1:14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31" t="str">
        <f t="shared" si="3"/>
        <v>Kom1068</v>
      </c>
      <c r="M69" s="31" t="str">
        <f t="shared" si="4"/>
        <v>Lapop</v>
      </c>
      <c r="N69" s="31" t="str">
        <f t="shared" si="5"/>
        <v>apto</v>
      </c>
    </row>
    <row r="70" spans="1:14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31" t="str">
        <f t="shared" si="3"/>
        <v>Kom1069</v>
      </c>
      <c r="M70" s="31" t="str">
        <f t="shared" si="4"/>
        <v>Chair</v>
      </c>
      <c r="N70" s="31" t="str">
        <f t="shared" si="5"/>
        <v>hair</v>
      </c>
    </row>
    <row r="71" spans="1:14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31" t="str">
        <f t="shared" si="3"/>
        <v>Kom1070</v>
      </c>
      <c r="M71" s="31" t="str">
        <f t="shared" si="4"/>
        <v>Staer</v>
      </c>
      <c r="N71" s="31" t="str">
        <f t="shared" si="5"/>
        <v>tapl</v>
      </c>
    </row>
    <row r="72" spans="1:14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31" t="str">
        <f t="shared" si="3"/>
        <v>Ani1071</v>
      </c>
      <c r="M72" s="31" t="str">
        <f t="shared" si="4"/>
        <v>Mouse</v>
      </c>
      <c r="N72" s="31" t="str">
        <f t="shared" si="5"/>
        <v>ouse</v>
      </c>
    </row>
    <row r="73" spans="1:14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31" t="str">
        <f t="shared" si="3"/>
        <v>Poo1072</v>
      </c>
      <c r="M73" s="31" t="str">
        <f t="shared" si="4"/>
        <v>Mouse</v>
      </c>
      <c r="N73" s="31" t="str">
        <f t="shared" si="5"/>
        <v>ouse</v>
      </c>
    </row>
    <row r="74" spans="1:14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31" t="str">
        <f t="shared" si="3"/>
        <v>Roh1073</v>
      </c>
      <c r="M74" s="31" t="str">
        <f t="shared" si="4"/>
        <v>Cabet</v>
      </c>
      <c r="N74" s="31" t="str">
        <f t="shared" si="5"/>
        <v>abin</v>
      </c>
    </row>
    <row r="75" spans="1:14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31" t="str">
        <f t="shared" si="3"/>
        <v>Vik1074</v>
      </c>
      <c r="M75" s="31" t="str">
        <f t="shared" si="4"/>
        <v>Marer</v>
      </c>
      <c r="N75" s="31" t="str">
        <f t="shared" si="5"/>
        <v>arke</v>
      </c>
    </row>
    <row r="76" spans="1:14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31" t="str">
        <f t="shared" si="3"/>
        <v>Nis1075</v>
      </c>
      <c r="M76" s="31" t="str">
        <f t="shared" si="4"/>
        <v>Mouse</v>
      </c>
      <c r="N76" s="31" t="str">
        <f t="shared" si="5"/>
        <v>ouse</v>
      </c>
    </row>
    <row r="77" spans="1:14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31" t="str">
        <f t="shared" si="3"/>
        <v>Pri1076</v>
      </c>
      <c r="M77" s="31" t="str">
        <f t="shared" si="4"/>
        <v>Prier</v>
      </c>
      <c r="N77" s="31" t="str">
        <f t="shared" si="5"/>
        <v>rint</v>
      </c>
    </row>
    <row r="78" spans="1:14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31" t="str">
        <f t="shared" si="3"/>
        <v>Sne1077</v>
      </c>
      <c r="M78" s="31" t="str">
        <f t="shared" si="4"/>
        <v>Notok</v>
      </c>
      <c r="N78" s="31" t="str">
        <f t="shared" si="5"/>
        <v>oteb</v>
      </c>
    </row>
    <row r="79" spans="1:14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31" t="str">
        <f t="shared" si="3"/>
        <v>Kom1078</v>
      </c>
      <c r="M79" s="31" t="str">
        <f t="shared" si="4"/>
        <v>Keyrd</v>
      </c>
      <c r="N79" s="31" t="str">
        <f t="shared" si="5"/>
        <v>eybo</v>
      </c>
    </row>
    <row r="80" spans="1:14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31" t="str">
        <f t="shared" si="3"/>
        <v>Vik1079</v>
      </c>
      <c r="M80" s="31" t="str">
        <f t="shared" si="4"/>
        <v>Heaet</v>
      </c>
      <c r="N80" s="31" t="str">
        <f t="shared" si="5"/>
        <v>eads</v>
      </c>
    </row>
    <row r="81" spans="1:14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31" t="str">
        <f t="shared" si="3"/>
        <v>Mee1080</v>
      </c>
      <c r="M81" s="31" t="str">
        <f t="shared" si="4"/>
        <v>Heaet</v>
      </c>
      <c r="N81" s="31" t="str">
        <f t="shared" si="5"/>
        <v>eads</v>
      </c>
    </row>
    <row r="82" spans="1:14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31" t="str">
        <f t="shared" si="3"/>
        <v>Yas1081</v>
      </c>
      <c r="M82" s="31" t="str">
        <f t="shared" si="4"/>
        <v>Prier</v>
      </c>
      <c r="N82" s="31" t="str">
        <f t="shared" si="5"/>
        <v>rint</v>
      </c>
    </row>
    <row r="83" spans="1:14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31" t="str">
        <f t="shared" si="3"/>
        <v>Mee1082</v>
      </c>
      <c r="M83" s="31" t="str">
        <f t="shared" si="4"/>
        <v>Notok</v>
      </c>
      <c r="N83" s="31" t="str">
        <f t="shared" si="5"/>
        <v>oteb</v>
      </c>
    </row>
    <row r="84" spans="1:14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31" t="str">
        <f t="shared" si="3"/>
        <v>Sne1083</v>
      </c>
      <c r="M84" s="31" t="str">
        <f t="shared" si="4"/>
        <v>Diary</v>
      </c>
      <c r="N84" s="31" t="str">
        <f t="shared" si="5"/>
        <v>iary</v>
      </c>
    </row>
    <row r="85" spans="1:14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31" t="str">
        <f t="shared" si="3"/>
        <v>Aja1084</v>
      </c>
      <c r="M85" s="31" t="str">
        <f t="shared" si="4"/>
        <v>Chair</v>
      </c>
      <c r="N85" s="31" t="str">
        <f t="shared" si="5"/>
        <v>hair</v>
      </c>
    </row>
    <row r="86" spans="1:14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31" t="str">
        <f t="shared" si="3"/>
        <v>Ash1085</v>
      </c>
      <c r="M86" s="31" t="str">
        <f t="shared" si="4"/>
        <v>Lapop</v>
      </c>
      <c r="N86" s="31" t="str">
        <f t="shared" si="5"/>
        <v>apto</v>
      </c>
    </row>
    <row r="87" spans="1:14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31" t="str">
        <f t="shared" si="3"/>
        <v>Ash1086</v>
      </c>
      <c r="M87" s="31" t="str">
        <f t="shared" si="4"/>
        <v>Diary</v>
      </c>
      <c r="N87" s="31" t="str">
        <f t="shared" si="5"/>
        <v>iary</v>
      </c>
    </row>
    <row r="88" spans="1:14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31" t="str">
        <f t="shared" si="3"/>
        <v>Rit1087</v>
      </c>
      <c r="M88" s="31" t="str">
        <f t="shared" si="4"/>
        <v>Penck</v>
      </c>
      <c r="N88" s="31" t="str">
        <f t="shared" si="5"/>
        <v>en P</v>
      </c>
    </row>
    <row r="89" spans="1:14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31" t="str">
        <f t="shared" si="3"/>
        <v>Dee1088</v>
      </c>
      <c r="M89" s="31" t="str">
        <f t="shared" si="4"/>
        <v>Heaet</v>
      </c>
      <c r="N89" s="31" t="str">
        <f t="shared" si="5"/>
        <v>eads</v>
      </c>
    </row>
    <row r="90" spans="1:14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31" t="str">
        <f t="shared" si="3"/>
        <v>Kir1089</v>
      </c>
      <c r="M90" s="31" t="str">
        <f t="shared" si="4"/>
        <v>Prier</v>
      </c>
      <c r="N90" s="31" t="str">
        <f t="shared" si="5"/>
        <v>rint</v>
      </c>
    </row>
    <row r="91" spans="1:14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31" t="str">
        <f t="shared" si="3"/>
        <v>Aja1090</v>
      </c>
      <c r="M91" s="31" t="str">
        <f t="shared" si="4"/>
        <v>Monor</v>
      </c>
      <c r="N91" s="31" t="str">
        <f t="shared" si="5"/>
        <v>onit</v>
      </c>
    </row>
    <row r="92" spans="1:14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31" t="str">
        <f t="shared" si="3"/>
        <v>Sne1091</v>
      </c>
      <c r="M92" s="31" t="str">
        <f t="shared" si="4"/>
        <v>Diary</v>
      </c>
      <c r="N92" s="31" t="str">
        <f t="shared" si="5"/>
        <v>iary</v>
      </c>
    </row>
    <row r="93" spans="1:14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31" t="str">
        <f t="shared" si="3"/>
        <v>Mee1092</v>
      </c>
      <c r="M93" s="31" t="str">
        <f t="shared" si="4"/>
        <v>Heaet</v>
      </c>
      <c r="N93" s="31" t="str">
        <f t="shared" si="5"/>
        <v>eads</v>
      </c>
    </row>
    <row r="94" spans="1:14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31" t="str">
        <f t="shared" si="3"/>
        <v>Yas1093</v>
      </c>
      <c r="M94" s="31" t="str">
        <f t="shared" si="4"/>
        <v>Table</v>
      </c>
      <c r="N94" s="31" t="str">
        <f t="shared" si="5"/>
        <v>able</v>
      </c>
    </row>
    <row r="95" spans="1:14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31" t="str">
        <f t="shared" si="3"/>
        <v>Yas1094</v>
      </c>
      <c r="M95" s="31" t="str">
        <f t="shared" si="4"/>
        <v>Mouse</v>
      </c>
      <c r="N95" s="31" t="str">
        <f t="shared" si="5"/>
        <v>ouse</v>
      </c>
    </row>
    <row r="96" spans="1:14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31" t="str">
        <f t="shared" si="3"/>
        <v>Yas1095</v>
      </c>
      <c r="M96" s="31" t="str">
        <f t="shared" si="4"/>
        <v>Heaet</v>
      </c>
      <c r="N96" s="31" t="str">
        <f t="shared" si="5"/>
        <v>eads</v>
      </c>
    </row>
    <row r="97" spans="1:14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31" t="str">
        <f t="shared" si="3"/>
        <v>Aja1096</v>
      </c>
      <c r="M97" s="31" t="str">
        <f t="shared" si="4"/>
        <v>Table</v>
      </c>
      <c r="N97" s="31" t="str">
        <f t="shared" si="5"/>
        <v>able</v>
      </c>
    </row>
    <row r="98" spans="1:14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31" t="str">
        <f t="shared" si="3"/>
        <v>Kom1097</v>
      </c>
      <c r="M98" s="31" t="str">
        <f t="shared" si="4"/>
        <v>Mouse</v>
      </c>
      <c r="N98" s="31" t="str">
        <f t="shared" si="5"/>
        <v>ouse</v>
      </c>
    </row>
    <row r="99" spans="1:14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31" t="str">
        <f t="shared" si="3"/>
        <v>Vik1098</v>
      </c>
      <c r="M99" s="31" t="str">
        <f t="shared" si="4"/>
        <v>Diary</v>
      </c>
      <c r="N99" s="31" t="str">
        <f t="shared" si="5"/>
        <v>iary</v>
      </c>
    </row>
    <row r="100" spans="1:14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31" t="str">
        <f t="shared" si="3"/>
        <v>Vik1099</v>
      </c>
      <c r="M100" s="31" t="str">
        <f t="shared" si="4"/>
        <v>Dessk</v>
      </c>
      <c r="N100" s="31" t="str">
        <f t="shared" si="5"/>
        <v>esk</v>
      </c>
    </row>
    <row r="101" spans="1:14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31" t="str">
        <f t="shared" si="3"/>
        <v>Rit1100</v>
      </c>
      <c r="M101" s="31" t="str">
        <f t="shared" si="4"/>
        <v>Notok</v>
      </c>
      <c r="N101" s="31" t="str">
        <f t="shared" si="5"/>
        <v>oteb</v>
      </c>
    </row>
    <row r="102" spans="1:14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31" t="str">
        <f t="shared" si="3"/>
        <v>Arj1101</v>
      </c>
      <c r="M102" s="31" t="str">
        <f t="shared" si="4"/>
        <v>Mouse</v>
      </c>
      <c r="N102" s="31" t="str">
        <f t="shared" si="5"/>
        <v>ouse</v>
      </c>
    </row>
    <row r="103" spans="1:14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31" t="str">
        <f t="shared" si="3"/>
        <v>Man1102</v>
      </c>
      <c r="M103" s="31" t="str">
        <f t="shared" si="4"/>
        <v>Monor</v>
      </c>
      <c r="N103" s="31" t="str">
        <f t="shared" si="5"/>
        <v>onit</v>
      </c>
    </row>
    <row r="104" spans="1:14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31" t="str">
        <f t="shared" si="3"/>
        <v>Poo1103</v>
      </c>
      <c r="M104" s="31" t="str">
        <f t="shared" si="4"/>
        <v>Table</v>
      </c>
      <c r="N104" s="31" t="str">
        <f t="shared" si="5"/>
        <v>able</v>
      </c>
    </row>
    <row r="105" spans="1:14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31" t="str">
        <f t="shared" si="3"/>
        <v>Poo1104</v>
      </c>
      <c r="M105" s="31" t="str">
        <f t="shared" si="4"/>
        <v>Dessk</v>
      </c>
      <c r="N105" s="31" t="str">
        <f t="shared" si="5"/>
        <v>esk</v>
      </c>
    </row>
    <row r="106" spans="1:14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31" t="str">
        <f t="shared" si="3"/>
        <v>Ani1105</v>
      </c>
      <c r="M106" s="31" t="str">
        <f t="shared" si="4"/>
        <v>Marer</v>
      </c>
      <c r="N106" s="31" t="str">
        <f t="shared" si="5"/>
        <v>arke</v>
      </c>
    </row>
    <row r="107" spans="1:14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31" t="str">
        <f t="shared" si="3"/>
        <v>Arj1106</v>
      </c>
      <c r="M107" s="31" t="str">
        <f t="shared" si="4"/>
        <v>Table</v>
      </c>
      <c r="N107" s="31" t="str">
        <f t="shared" si="5"/>
        <v>able</v>
      </c>
    </row>
    <row r="108" spans="1:14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31" t="str">
        <f t="shared" si="3"/>
        <v>Kom1107</v>
      </c>
      <c r="M108" s="31" t="str">
        <f t="shared" si="4"/>
        <v>Lapop</v>
      </c>
      <c r="N108" s="31" t="str">
        <f t="shared" si="5"/>
        <v>apto</v>
      </c>
    </row>
    <row r="109" spans="1:14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31" t="str">
        <f t="shared" si="3"/>
        <v>Nis1108</v>
      </c>
      <c r="M109" s="31" t="str">
        <f t="shared" si="4"/>
        <v>Chair</v>
      </c>
      <c r="N109" s="31" t="str">
        <f t="shared" si="5"/>
        <v>hair</v>
      </c>
    </row>
    <row r="110" spans="1:14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31" t="str">
        <f t="shared" si="3"/>
        <v>Mee1109</v>
      </c>
      <c r="M110" s="31" t="str">
        <f t="shared" si="4"/>
        <v>Boolf</v>
      </c>
      <c r="N110" s="31" t="str">
        <f t="shared" si="5"/>
        <v>ooks</v>
      </c>
    </row>
    <row r="111" spans="1:14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31" t="str">
        <f t="shared" si="3"/>
        <v>Aja1110</v>
      </c>
      <c r="M111" s="31" t="str">
        <f t="shared" si="4"/>
        <v>Table</v>
      </c>
      <c r="N111" s="31" t="str">
        <f t="shared" si="5"/>
        <v>able</v>
      </c>
    </row>
    <row r="112" spans="1:14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31" t="str">
        <f t="shared" si="3"/>
        <v>Yas1111</v>
      </c>
      <c r="M112" s="31" t="str">
        <f t="shared" si="4"/>
        <v>Prier</v>
      </c>
      <c r="N112" s="31" t="str">
        <f t="shared" si="5"/>
        <v>rint</v>
      </c>
    </row>
    <row r="113" spans="1:14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31" t="str">
        <f t="shared" si="3"/>
        <v>Mee1112</v>
      </c>
      <c r="M113" s="31" t="str">
        <f t="shared" si="4"/>
        <v>Boolf</v>
      </c>
      <c r="N113" s="31" t="str">
        <f t="shared" si="5"/>
        <v>ooks</v>
      </c>
    </row>
    <row r="114" spans="1:14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31" t="str">
        <f t="shared" si="3"/>
        <v>Vik1113</v>
      </c>
      <c r="M114" s="31" t="str">
        <f t="shared" si="4"/>
        <v>Cabet</v>
      </c>
      <c r="N114" s="31" t="str">
        <f t="shared" si="5"/>
        <v>abin</v>
      </c>
    </row>
    <row r="115" spans="1:14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31" t="str">
        <f t="shared" si="3"/>
        <v>Poo1114</v>
      </c>
      <c r="M115" s="31" t="str">
        <f t="shared" si="4"/>
        <v>Marer</v>
      </c>
      <c r="N115" s="31" t="str">
        <f t="shared" si="5"/>
        <v>arke</v>
      </c>
    </row>
    <row r="116" spans="1:14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31" t="str">
        <f t="shared" si="3"/>
        <v>Ani1115</v>
      </c>
      <c r="M116" s="31" t="str">
        <f t="shared" si="4"/>
        <v>Marer</v>
      </c>
      <c r="N116" s="31" t="str">
        <f t="shared" si="5"/>
        <v>arke</v>
      </c>
    </row>
    <row r="117" spans="1:14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31" t="str">
        <f t="shared" si="3"/>
        <v>Poo1116</v>
      </c>
      <c r="M117" s="31" t="str">
        <f t="shared" si="4"/>
        <v>Cabet</v>
      </c>
      <c r="N117" s="31" t="str">
        <f t="shared" si="5"/>
        <v>abin</v>
      </c>
    </row>
    <row r="118" spans="1:14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31" t="str">
        <f t="shared" si="3"/>
        <v>Sne1117</v>
      </c>
      <c r="M118" s="31" t="str">
        <f t="shared" si="4"/>
        <v>Keyrd</v>
      </c>
      <c r="N118" s="31" t="str">
        <f t="shared" si="5"/>
        <v>eybo</v>
      </c>
    </row>
    <row r="119" spans="1:14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31" t="str">
        <f t="shared" si="3"/>
        <v>Mee1118</v>
      </c>
      <c r="M119" s="31" t="str">
        <f t="shared" si="4"/>
        <v>Table</v>
      </c>
      <c r="N119" s="31" t="str">
        <f t="shared" si="5"/>
        <v>able</v>
      </c>
    </row>
    <row r="120" spans="1:14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31" t="str">
        <f t="shared" si="3"/>
        <v>Neh1119</v>
      </c>
      <c r="M120" s="31" t="str">
        <f t="shared" si="4"/>
        <v>Chair</v>
      </c>
      <c r="N120" s="31" t="str">
        <f t="shared" si="5"/>
        <v>hair</v>
      </c>
    </row>
    <row r="121" spans="1:14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31" t="str">
        <f t="shared" si="3"/>
        <v>Ash1120</v>
      </c>
      <c r="M121" s="31" t="str">
        <f t="shared" si="4"/>
        <v>Staer</v>
      </c>
      <c r="N121" s="31" t="str">
        <f t="shared" si="5"/>
        <v>tapl</v>
      </c>
    </row>
    <row r="122" spans="1:14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31" t="str">
        <f t="shared" si="3"/>
        <v>Pri1121</v>
      </c>
      <c r="M122" s="31" t="str">
        <f t="shared" si="4"/>
        <v>Keyrd</v>
      </c>
      <c r="N122" s="31" t="str">
        <f t="shared" si="5"/>
        <v>eybo</v>
      </c>
    </row>
    <row r="123" spans="1:14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31" t="str">
        <f t="shared" si="3"/>
        <v>Dee1122</v>
      </c>
      <c r="M123" s="31" t="str">
        <f t="shared" si="4"/>
        <v>Keyrd</v>
      </c>
      <c r="N123" s="31" t="str">
        <f t="shared" si="5"/>
        <v>eybo</v>
      </c>
    </row>
    <row r="124" spans="1:14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31" t="str">
        <f t="shared" si="3"/>
        <v>Ash1123</v>
      </c>
      <c r="M124" s="31" t="str">
        <f t="shared" si="4"/>
        <v>Monor</v>
      </c>
      <c r="N124" s="31" t="str">
        <f t="shared" si="5"/>
        <v>onit</v>
      </c>
    </row>
    <row r="125" spans="1:14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31" t="str">
        <f t="shared" si="3"/>
        <v>Arj1124</v>
      </c>
      <c r="M125" s="31" t="str">
        <f t="shared" si="4"/>
        <v>Cabet</v>
      </c>
      <c r="N125" s="31" t="str">
        <f t="shared" si="5"/>
        <v>abin</v>
      </c>
    </row>
    <row r="126" spans="1:14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31" t="str">
        <f t="shared" si="3"/>
        <v>Aja1125</v>
      </c>
      <c r="M126" s="31" t="str">
        <f t="shared" si="4"/>
        <v>Notok</v>
      </c>
      <c r="N126" s="31" t="str">
        <f t="shared" si="5"/>
        <v>oteb</v>
      </c>
    </row>
    <row r="127" spans="1:14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31" t="str">
        <f t="shared" si="3"/>
        <v>Kir1126</v>
      </c>
      <c r="M127" s="31" t="str">
        <f t="shared" si="4"/>
        <v>Keyrd</v>
      </c>
      <c r="N127" s="31" t="str">
        <f t="shared" si="5"/>
        <v>eybo</v>
      </c>
    </row>
    <row r="128" spans="1:14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31" t="str">
        <f t="shared" si="3"/>
        <v>Vik1127</v>
      </c>
      <c r="M128" s="31" t="str">
        <f t="shared" si="4"/>
        <v>Chair</v>
      </c>
      <c r="N128" s="31" t="str">
        <f t="shared" si="5"/>
        <v>hair</v>
      </c>
    </row>
    <row r="129" spans="1:14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31" t="str">
        <f t="shared" si="3"/>
        <v>Neh1128</v>
      </c>
      <c r="M129" s="31" t="str">
        <f t="shared" si="4"/>
        <v>Mouse</v>
      </c>
      <c r="N129" s="31" t="str">
        <f t="shared" si="5"/>
        <v>ouse</v>
      </c>
    </row>
    <row r="130" spans="1:14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31" t="str">
        <f t="shared" si="3"/>
        <v>Roh1129</v>
      </c>
      <c r="M130" s="31" t="str">
        <f t="shared" si="4"/>
        <v>Marer</v>
      </c>
      <c r="N130" s="31" t="str">
        <f t="shared" si="5"/>
        <v>arke</v>
      </c>
    </row>
    <row r="131" spans="1:14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31" t="str">
        <f t="shared" ref="L131:L194" si="6">LEFT(B131,3)&amp;A131</f>
        <v>Nit1130</v>
      </c>
      <c r="M131" s="31" t="str">
        <f t="shared" ref="M131:M194" si="7">LEFT(E131,3)&amp;RIGHT(E131,2)</f>
        <v>Notok</v>
      </c>
      <c r="N131" s="31" t="str">
        <f t="shared" ref="N131:N194" si="8">MID(E131,2,4)</f>
        <v>oteb</v>
      </c>
    </row>
    <row r="132" spans="1:14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31" t="str">
        <f t="shared" si="6"/>
        <v>Mee1131</v>
      </c>
      <c r="M132" s="31" t="str">
        <f t="shared" si="7"/>
        <v>Table</v>
      </c>
      <c r="N132" s="31" t="str">
        <f t="shared" si="8"/>
        <v>able</v>
      </c>
    </row>
    <row r="133" spans="1:14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31" t="str">
        <f t="shared" si="6"/>
        <v>Rit1132</v>
      </c>
      <c r="M133" s="31" t="str">
        <f t="shared" si="7"/>
        <v>Marer</v>
      </c>
      <c r="N133" s="31" t="str">
        <f t="shared" si="8"/>
        <v>arke</v>
      </c>
    </row>
    <row r="134" spans="1:14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31" t="str">
        <f t="shared" si="6"/>
        <v>Rit1133</v>
      </c>
      <c r="M134" s="31" t="str">
        <f t="shared" si="7"/>
        <v>Cabet</v>
      </c>
      <c r="N134" s="31" t="str">
        <f t="shared" si="8"/>
        <v>abin</v>
      </c>
    </row>
    <row r="135" spans="1:14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31" t="str">
        <f t="shared" si="6"/>
        <v>Sar1134</v>
      </c>
      <c r="M135" s="31" t="str">
        <f t="shared" si="7"/>
        <v>Mouse</v>
      </c>
      <c r="N135" s="31" t="str">
        <f t="shared" si="8"/>
        <v>ouse</v>
      </c>
    </row>
    <row r="136" spans="1:14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31" t="str">
        <f t="shared" si="6"/>
        <v>Aja1135</v>
      </c>
      <c r="M136" s="31" t="str">
        <f t="shared" si="7"/>
        <v>Keyrd</v>
      </c>
      <c r="N136" s="31" t="str">
        <f t="shared" si="8"/>
        <v>eybo</v>
      </c>
    </row>
    <row r="137" spans="1:14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31" t="str">
        <f t="shared" si="6"/>
        <v>Arj1136</v>
      </c>
      <c r="M137" s="31" t="str">
        <f t="shared" si="7"/>
        <v>Cabet</v>
      </c>
      <c r="N137" s="31" t="str">
        <f t="shared" si="8"/>
        <v>abin</v>
      </c>
    </row>
    <row r="138" spans="1:14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31" t="str">
        <f t="shared" si="6"/>
        <v>Kom1137</v>
      </c>
      <c r="M138" s="31" t="str">
        <f t="shared" si="7"/>
        <v>Penck</v>
      </c>
      <c r="N138" s="31" t="str">
        <f t="shared" si="8"/>
        <v>en P</v>
      </c>
    </row>
    <row r="139" spans="1:14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31" t="str">
        <f t="shared" si="6"/>
        <v>Sne1138</v>
      </c>
      <c r="M139" s="31" t="str">
        <f t="shared" si="7"/>
        <v>Dessk</v>
      </c>
      <c r="N139" s="31" t="str">
        <f t="shared" si="8"/>
        <v>esk</v>
      </c>
    </row>
    <row r="140" spans="1:14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31" t="str">
        <f t="shared" si="6"/>
        <v>Sne1139</v>
      </c>
      <c r="M140" s="31" t="str">
        <f t="shared" si="7"/>
        <v>Mouse</v>
      </c>
      <c r="N140" s="31" t="str">
        <f t="shared" si="8"/>
        <v>ouse</v>
      </c>
    </row>
    <row r="141" spans="1:14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31" t="str">
        <f t="shared" si="6"/>
        <v>Sar1140</v>
      </c>
      <c r="M141" s="31" t="str">
        <f t="shared" si="7"/>
        <v>Heaet</v>
      </c>
      <c r="N141" s="31" t="str">
        <f t="shared" si="8"/>
        <v>eads</v>
      </c>
    </row>
    <row r="142" spans="1:14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31" t="str">
        <f t="shared" si="6"/>
        <v>Rit1141</v>
      </c>
      <c r="M142" s="31" t="str">
        <f t="shared" si="7"/>
        <v>Boolf</v>
      </c>
      <c r="N142" s="31" t="str">
        <f t="shared" si="8"/>
        <v>ooks</v>
      </c>
    </row>
    <row r="143" spans="1:14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31" t="str">
        <f t="shared" si="6"/>
        <v>Dee1142</v>
      </c>
      <c r="M143" s="31" t="str">
        <f t="shared" si="7"/>
        <v>Lapop</v>
      </c>
      <c r="N143" s="31" t="str">
        <f t="shared" si="8"/>
        <v>apto</v>
      </c>
    </row>
    <row r="144" spans="1:14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31" t="str">
        <f t="shared" si="6"/>
        <v>Pri1143</v>
      </c>
      <c r="M144" s="31" t="str">
        <f t="shared" si="7"/>
        <v>Penck</v>
      </c>
      <c r="N144" s="31" t="str">
        <f t="shared" si="8"/>
        <v>en P</v>
      </c>
    </row>
    <row r="145" spans="1:14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31" t="str">
        <f t="shared" si="6"/>
        <v>Nis1144</v>
      </c>
      <c r="M145" s="31" t="str">
        <f t="shared" si="7"/>
        <v>Notok</v>
      </c>
      <c r="N145" s="31" t="str">
        <f t="shared" si="8"/>
        <v>oteb</v>
      </c>
    </row>
    <row r="146" spans="1:14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31" t="str">
        <f t="shared" si="6"/>
        <v>Nis1145</v>
      </c>
      <c r="M146" s="31" t="str">
        <f t="shared" si="7"/>
        <v>Keyrd</v>
      </c>
      <c r="N146" s="31" t="str">
        <f t="shared" si="8"/>
        <v>eybo</v>
      </c>
    </row>
    <row r="147" spans="1:14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31" t="str">
        <f t="shared" si="6"/>
        <v>Poo1146</v>
      </c>
      <c r="M147" s="31" t="str">
        <f t="shared" si="7"/>
        <v>Monor</v>
      </c>
      <c r="N147" s="31" t="str">
        <f t="shared" si="8"/>
        <v>onit</v>
      </c>
    </row>
    <row r="148" spans="1:14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31" t="str">
        <f t="shared" si="6"/>
        <v>Rit1147</v>
      </c>
      <c r="M148" s="31" t="str">
        <f t="shared" si="7"/>
        <v>Chair</v>
      </c>
      <c r="N148" s="31" t="str">
        <f t="shared" si="8"/>
        <v>hair</v>
      </c>
    </row>
    <row r="149" spans="1:14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31" t="str">
        <f t="shared" si="6"/>
        <v>Ani1148</v>
      </c>
      <c r="M149" s="31" t="str">
        <f t="shared" si="7"/>
        <v>Chair</v>
      </c>
      <c r="N149" s="31" t="str">
        <f t="shared" si="8"/>
        <v>hair</v>
      </c>
    </row>
    <row r="150" spans="1:14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31" t="str">
        <f t="shared" si="6"/>
        <v>Vik1149</v>
      </c>
      <c r="M150" s="31" t="str">
        <f t="shared" si="7"/>
        <v>Prier</v>
      </c>
      <c r="N150" s="31" t="str">
        <f t="shared" si="8"/>
        <v>rint</v>
      </c>
    </row>
    <row r="151" spans="1:14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31" t="str">
        <f t="shared" si="6"/>
        <v>Nis1150</v>
      </c>
      <c r="M151" s="31" t="str">
        <f t="shared" si="7"/>
        <v>Cabet</v>
      </c>
      <c r="N151" s="31" t="str">
        <f t="shared" si="8"/>
        <v>abin</v>
      </c>
    </row>
    <row r="152" spans="1:14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31" t="str">
        <f t="shared" si="6"/>
        <v>Kir1151</v>
      </c>
      <c r="M152" s="31" t="str">
        <f t="shared" si="7"/>
        <v>Marer</v>
      </c>
      <c r="N152" s="31" t="str">
        <f t="shared" si="8"/>
        <v>arke</v>
      </c>
    </row>
    <row r="153" spans="1:14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31" t="str">
        <f t="shared" si="6"/>
        <v>Arj1152</v>
      </c>
      <c r="M153" s="31" t="str">
        <f t="shared" si="7"/>
        <v>Mouse</v>
      </c>
      <c r="N153" s="31" t="str">
        <f t="shared" si="8"/>
        <v>ouse</v>
      </c>
    </row>
    <row r="154" spans="1:14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31" t="str">
        <f t="shared" si="6"/>
        <v>Nis1153</v>
      </c>
      <c r="M154" s="31" t="str">
        <f t="shared" si="7"/>
        <v>Table</v>
      </c>
      <c r="N154" s="31" t="str">
        <f t="shared" si="8"/>
        <v>able</v>
      </c>
    </row>
    <row r="155" spans="1:14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31" t="str">
        <f t="shared" si="6"/>
        <v>Ash1154</v>
      </c>
      <c r="M155" s="31" t="str">
        <f t="shared" si="7"/>
        <v>Cabet</v>
      </c>
      <c r="N155" s="31" t="str">
        <f t="shared" si="8"/>
        <v>abin</v>
      </c>
    </row>
    <row r="156" spans="1:14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31" t="str">
        <f t="shared" si="6"/>
        <v>Rit1155</v>
      </c>
      <c r="M156" s="31" t="str">
        <f t="shared" si="7"/>
        <v>Chair</v>
      </c>
      <c r="N156" s="31" t="str">
        <f t="shared" si="8"/>
        <v>hair</v>
      </c>
    </row>
    <row r="157" spans="1:14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31" t="str">
        <f t="shared" si="6"/>
        <v>Man1156</v>
      </c>
      <c r="M157" s="31" t="str">
        <f t="shared" si="7"/>
        <v>Staer</v>
      </c>
      <c r="N157" s="31" t="str">
        <f t="shared" si="8"/>
        <v>tapl</v>
      </c>
    </row>
    <row r="158" spans="1:14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31" t="str">
        <f t="shared" si="6"/>
        <v>Kom1157</v>
      </c>
      <c r="M158" s="31" t="str">
        <f t="shared" si="7"/>
        <v>Marer</v>
      </c>
      <c r="N158" s="31" t="str">
        <f t="shared" si="8"/>
        <v>arke</v>
      </c>
    </row>
    <row r="159" spans="1:14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31" t="str">
        <f t="shared" si="6"/>
        <v>Vik1158</v>
      </c>
      <c r="M159" s="31" t="str">
        <f t="shared" si="7"/>
        <v>Heaet</v>
      </c>
      <c r="N159" s="31" t="str">
        <f t="shared" si="8"/>
        <v>eads</v>
      </c>
    </row>
    <row r="160" spans="1:14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31" t="str">
        <f t="shared" si="6"/>
        <v>Ash1159</v>
      </c>
      <c r="M160" s="31" t="str">
        <f t="shared" si="7"/>
        <v>Chair</v>
      </c>
      <c r="N160" s="31" t="str">
        <f t="shared" si="8"/>
        <v>hair</v>
      </c>
    </row>
    <row r="161" spans="1:14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31" t="str">
        <f t="shared" si="6"/>
        <v>Ani1160</v>
      </c>
      <c r="M161" s="31" t="str">
        <f t="shared" si="7"/>
        <v>Keyrd</v>
      </c>
      <c r="N161" s="31" t="str">
        <f t="shared" si="8"/>
        <v>eybo</v>
      </c>
    </row>
    <row r="162" spans="1:14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31" t="str">
        <f t="shared" si="6"/>
        <v>Arj1161</v>
      </c>
      <c r="M162" s="31" t="str">
        <f t="shared" si="7"/>
        <v>Keyrd</v>
      </c>
      <c r="N162" s="31" t="str">
        <f t="shared" si="8"/>
        <v>eybo</v>
      </c>
    </row>
    <row r="163" spans="1:14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31" t="str">
        <f t="shared" si="6"/>
        <v>Sar1162</v>
      </c>
      <c r="M163" s="31" t="str">
        <f t="shared" si="7"/>
        <v>Monor</v>
      </c>
      <c r="N163" s="31" t="str">
        <f t="shared" si="8"/>
        <v>onit</v>
      </c>
    </row>
    <row r="164" spans="1:14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31" t="str">
        <f t="shared" si="6"/>
        <v>Pri1163</v>
      </c>
      <c r="M164" s="31" t="str">
        <f t="shared" si="7"/>
        <v>Keyrd</v>
      </c>
      <c r="N164" s="31" t="str">
        <f t="shared" si="8"/>
        <v>eybo</v>
      </c>
    </row>
    <row r="165" spans="1:14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31" t="str">
        <f t="shared" si="6"/>
        <v>Dee1164</v>
      </c>
      <c r="M165" s="31" t="str">
        <f t="shared" si="7"/>
        <v>Mouse</v>
      </c>
      <c r="N165" s="31" t="str">
        <f t="shared" si="8"/>
        <v>ouse</v>
      </c>
    </row>
    <row r="166" spans="1:14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31" t="str">
        <f t="shared" si="6"/>
        <v>Nit1165</v>
      </c>
      <c r="M166" s="31" t="str">
        <f t="shared" si="7"/>
        <v>Penck</v>
      </c>
      <c r="N166" s="31" t="str">
        <f t="shared" si="8"/>
        <v>en P</v>
      </c>
    </row>
    <row r="167" spans="1:14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31" t="str">
        <f t="shared" si="6"/>
        <v>Ash1166</v>
      </c>
      <c r="M167" s="31" t="str">
        <f t="shared" si="7"/>
        <v>Penck</v>
      </c>
      <c r="N167" s="31" t="str">
        <f t="shared" si="8"/>
        <v>en P</v>
      </c>
    </row>
    <row r="168" spans="1:14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31" t="str">
        <f t="shared" si="6"/>
        <v>Nit1167</v>
      </c>
      <c r="M168" s="31" t="str">
        <f t="shared" si="7"/>
        <v>Penck</v>
      </c>
      <c r="N168" s="31" t="str">
        <f t="shared" si="8"/>
        <v>en P</v>
      </c>
    </row>
    <row r="169" spans="1:14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31" t="str">
        <f t="shared" si="6"/>
        <v>Man1168</v>
      </c>
      <c r="M169" s="31" t="str">
        <f t="shared" si="7"/>
        <v>Penck</v>
      </c>
      <c r="N169" s="31" t="str">
        <f t="shared" si="8"/>
        <v>en P</v>
      </c>
    </row>
    <row r="170" spans="1:14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31" t="str">
        <f t="shared" si="6"/>
        <v>Yas1169</v>
      </c>
      <c r="M170" s="31" t="str">
        <f t="shared" si="7"/>
        <v>Cabet</v>
      </c>
      <c r="N170" s="31" t="str">
        <f t="shared" si="8"/>
        <v>abin</v>
      </c>
    </row>
    <row r="171" spans="1:14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31" t="str">
        <f t="shared" si="6"/>
        <v>Aja1170</v>
      </c>
      <c r="M171" s="31" t="str">
        <f t="shared" si="7"/>
        <v>Notok</v>
      </c>
      <c r="N171" s="31" t="str">
        <f t="shared" si="8"/>
        <v>oteb</v>
      </c>
    </row>
    <row r="172" spans="1:14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31" t="str">
        <f t="shared" si="6"/>
        <v>Sar1171</v>
      </c>
      <c r="M172" s="31" t="str">
        <f t="shared" si="7"/>
        <v>Marer</v>
      </c>
      <c r="N172" s="31" t="str">
        <f t="shared" si="8"/>
        <v>arke</v>
      </c>
    </row>
    <row r="173" spans="1:14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31" t="str">
        <f t="shared" si="6"/>
        <v>Poo1172</v>
      </c>
      <c r="M173" s="31" t="str">
        <f t="shared" si="7"/>
        <v>Monor</v>
      </c>
      <c r="N173" s="31" t="str">
        <f t="shared" si="8"/>
        <v>onit</v>
      </c>
    </row>
    <row r="174" spans="1:14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31" t="str">
        <f t="shared" si="6"/>
        <v>Dee1173</v>
      </c>
      <c r="M174" s="31" t="str">
        <f t="shared" si="7"/>
        <v>Penck</v>
      </c>
      <c r="N174" s="31" t="str">
        <f t="shared" si="8"/>
        <v>en P</v>
      </c>
    </row>
    <row r="175" spans="1:14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31" t="str">
        <f t="shared" si="6"/>
        <v>Roh1174</v>
      </c>
      <c r="M175" s="31" t="str">
        <f t="shared" si="7"/>
        <v>Notok</v>
      </c>
      <c r="N175" s="31" t="str">
        <f t="shared" si="8"/>
        <v>oteb</v>
      </c>
    </row>
    <row r="176" spans="1:14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31" t="str">
        <f t="shared" si="6"/>
        <v>Vik1175</v>
      </c>
      <c r="M176" s="31" t="str">
        <f t="shared" si="7"/>
        <v>Heaet</v>
      </c>
      <c r="N176" s="31" t="str">
        <f t="shared" si="8"/>
        <v>eads</v>
      </c>
    </row>
    <row r="177" spans="1:14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31" t="str">
        <f t="shared" si="6"/>
        <v>Roh1176</v>
      </c>
      <c r="M177" s="31" t="str">
        <f t="shared" si="7"/>
        <v>Heaet</v>
      </c>
      <c r="N177" s="31" t="str">
        <f t="shared" si="8"/>
        <v>eads</v>
      </c>
    </row>
    <row r="178" spans="1:14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31" t="str">
        <f t="shared" si="6"/>
        <v>Pri1177</v>
      </c>
      <c r="M178" s="31" t="str">
        <f t="shared" si="7"/>
        <v>Dessk</v>
      </c>
      <c r="N178" s="31" t="str">
        <f t="shared" si="8"/>
        <v>esk</v>
      </c>
    </row>
    <row r="179" spans="1:14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31" t="str">
        <f t="shared" si="6"/>
        <v>Sar1178</v>
      </c>
      <c r="M179" s="31" t="str">
        <f t="shared" si="7"/>
        <v>Marer</v>
      </c>
      <c r="N179" s="31" t="str">
        <f t="shared" si="8"/>
        <v>arke</v>
      </c>
    </row>
    <row r="180" spans="1:14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31" t="str">
        <f t="shared" si="6"/>
        <v>Yas1179</v>
      </c>
      <c r="M180" s="31" t="str">
        <f t="shared" si="7"/>
        <v>Keyrd</v>
      </c>
      <c r="N180" s="31" t="str">
        <f t="shared" si="8"/>
        <v>eybo</v>
      </c>
    </row>
    <row r="181" spans="1:14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31" t="str">
        <f t="shared" si="6"/>
        <v>Dee1180</v>
      </c>
      <c r="M181" s="31" t="str">
        <f t="shared" si="7"/>
        <v>Chair</v>
      </c>
      <c r="N181" s="31" t="str">
        <f t="shared" si="8"/>
        <v>hair</v>
      </c>
    </row>
    <row r="182" spans="1:14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31" t="str">
        <f t="shared" si="6"/>
        <v>Roh1181</v>
      </c>
      <c r="M182" s="31" t="str">
        <f t="shared" si="7"/>
        <v>Staer</v>
      </c>
      <c r="N182" s="31" t="str">
        <f t="shared" si="8"/>
        <v>tapl</v>
      </c>
    </row>
    <row r="183" spans="1:14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31" t="str">
        <f t="shared" si="6"/>
        <v>Nis1182</v>
      </c>
      <c r="M183" s="31" t="str">
        <f t="shared" si="7"/>
        <v>Keyrd</v>
      </c>
      <c r="N183" s="31" t="str">
        <f t="shared" si="8"/>
        <v>eybo</v>
      </c>
    </row>
    <row r="184" spans="1:14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31" t="str">
        <f t="shared" si="6"/>
        <v>Kom1183</v>
      </c>
      <c r="M184" s="31" t="str">
        <f t="shared" si="7"/>
        <v>Notok</v>
      </c>
      <c r="N184" s="31" t="str">
        <f t="shared" si="8"/>
        <v>oteb</v>
      </c>
    </row>
    <row r="185" spans="1:14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31" t="str">
        <f t="shared" si="6"/>
        <v>Dee1184</v>
      </c>
      <c r="M185" s="31" t="str">
        <f t="shared" si="7"/>
        <v>Keyrd</v>
      </c>
      <c r="N185" s="31" t="str">
        <f t="shared" si="8"/>
        <v>eybo</v>
      </c>
    </row>
    <row r="186" spans="1:14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31" t="str">
        <f t="shared" si="6"/>
        <v>Roh1185</v>
      </c>
      <c r="M186" s="31" t="str">
        <f t="shared" si="7"/>
        <v>Lapop</v>
      </c>
      <c r="N186" s="31" t="str">
        <f t="shared" si="8"/>
        <v>apto</v>
      </c>
    </row>
    <row r="187" spans="1:14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31" t="str">
        <f t="shared" si="6"/>
        <v>Poo1186</v>
      </c>
      <c r="M187" s="31" t="str">
        <f t="shared" si="7"/>
        <v>Boolf</v>
      </c>
      <c r="N187" s="31" t="str">
        <f t="shared" si="8"/>
        <v>ooks</v>
      </c>
    </row>
    <row r="188" spans="1:14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31" t="str">
        <f t="shared" si="6"/>
        <v>Man1187</v>
      </c>
      <c r="M188" s="31" t="str">
        <f t="shared" si="7"/>
        <v>Monor</v>
      </c>
      <c r="N188" s="31" t="str">
        <f t="shared" si="8"/>
        <v>onit</v>
      </c>
    </row>
    <row r="189" spans="1:14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31" t="str">
        <f t="shared" si="6"/>
        <v>Pri1188</v>
      </c>
      <c r="M189" s="31" t="str">
        <f t="shared" si="7"/>
        <v>Cabet</v>
      </c>
      <c r="N189" s="31" t="str">
        <f t="shared" si="8"/>
        <v>abin</v>
      </c>
    </row>
    <row r="190" spans="1:14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31" t="str">
        <f t="shared" si="6"/>
        <v>Aja1189</v>
      </c>
      <c r="M190" s="31" t="str">
        <f t="shared" si="7"/>
        <v>Cabet</v>
      </c>
      <c r="N190" s="31" t="str">
        <f t="shared" si="8"/>
        <v>abin</v>
      </c>
    </row>
    <row r="191" spans="1:14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31" t="str">
        <f t="shared" si="6"/>
        <v>Sar1190</v>
      </c>
      <c r="M191" s="31" t="str">
        <f t="shared" si="7"/>
        <v>Chair</v>
      </c>
      <c r="N191" s="31" t="str">
        <f t="shared" si="8"/>
        <v>hair</v>
      </c>
    </row>
    <row r="192" spans="1:14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31" t="str">
        <f t="shared" si="6"/>
        <v>Kom1191</v>
      </c>
      <c r="M192" s="31" t="str">
        <f t="shared" si="7"/>
        <v>Cabet</v>
      </c>
      <c r="N192" s="31" t="str">
        <f t="shared" si="8"/>
        <v>abin</v>
      </c>
    </row>
    <row r="193" spans="1:14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31" t="str">
        <f t="shared" si="6"/>
        <v>Mee1192</v>
      </c>
      <c r="M193" s="31" t="str">
        <f t="shared" si="7"/>
        <v>Diary</v>
      </c>
      <c r="N193" s="31" t="str">
        <f t="shared" si="8"/>
        <v>iary</v>
      </c>
    </row>
    <row r="194" spans="1:14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31" t="str">
        <f t="shared" si="6"/>
        <v>Sar1193</v>
      </c>
      <c r="M194" s="31" t="str">
        <f t="shared" si="7"/>
        <v>Table</v>
      </c>
      <c r="N194" s="31" t="str">
        <f t="shared" si="8"/>
        <v>able</v>
      </c>
    </row>
    <row r="195" spans="1:14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31" t="str">
        <f t="shared" ref="L195:L258" si="9">LEFT(B195,3)&amp;A195</f>
        <v>Sar1194</v>
      </c>
      <c r="M195" s="31" t="str">
        <f t="shared" ref="M195:M258" si="10">LEFT(E195,3)&amp;RIGHT(E195,2)</f>
        <v>Chair</v>
      </c>
      <c r="N195" s="31" t="str">
        <f t="shared" ref="N195:N258" si="11">MID(E195,2,4)</f>
        <v>hair</v>
      </c>
    </row>
    <row r="196" spans="1:14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31" t="str">
        <f t="shared" si="9"/>
        <v>Ani1195</v>
      </c>
      <c r="M196" s="31" t="str">
        <f t="shared" si="10"/>
        <v>Marer</v>
      </c>
      <c r="N196" s="31" t="str">
        <f t="shared" si="11"/>
        <v>arke</v>
      </c>
    </row>
    <row r="197" spans="1:14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31" t="str">
        <f t="shared" si="9"/>
        <v>Nit1196</v>
      </c>
      <c r="M197" s="31" t="str">
        <f t="shared" si="10"/>
        <v>Prier</v>
      </c>
      <c r="N197" s="31" t="str">
        <f t="shared" si="11"/>
        <v>rint</v>
      </c>
    </row>
    <row r="198" spans="1:14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31" t="str">
        <f t="shared" si="9"/>
        <v>Kom1197</v>
      </c>
      <c r="M198" s="31" t="str">
        <f t="shared" si="10"/>
        <v>Prier</v>
      </c>
      <c r="N198" s="31" t="str">
        <f t="shared" si="11"/>
        <v>rint</v>
      </c>
    </row>
    <row r="199" spans="1:14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31" t="str">
        <f t="shared" si="9"/>
        <v>Roh1198</v>
      </c>
      <c r="M199" s="31" t="str">
        <f t="shared" si="10"/>
        <v>Notok</v>
      </c>
      <c r="N199" s="31" t="str">
        <f t="shared" si="11"/>
        <v>oteb</v>
      </c>
    </row>
    <row r="200" spans="1:14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31" t="str">
        <f t="shared" si="9"/>
        <v>Rit1199</v>
      </c>
      <c r="M200" s="31" t="str">
        <f t="shared" si="10"/>
        <v>Monor</v>
      </c>
      <c r="N200" s="31" t="str">
        <f t="shared" si="11"/>
        <v>onit</v>
      </c>
    </row>
    <row r="201" spans="1:14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31" t="str">
        <f t="shared" si="9"/>
        <v>Pri1200</v>
      </c>
      <c r="M201" s="31" t="str">
        <f t="shared" si="10"/>
        <v>Monor</v>
      </c>
      <c r="N201" s="31" t="str">
        <f t="shared" si="11"/>
        <v>onit</v>
      </c>
    </row>
    <row r="202" spans="1:14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31" t="str">
        <f t="shared" si="9"/>
        <v>Man1201</v>
      </c>
      <c r="M202" s="31" t="str">
        <f t="shared" si="10"/>
        <v>Diary</v>
      </c>
      <c r="N202" s="31" t="str">
        <f t="shared" si="11"/>
        <v>iary</v>
      </c>
    </row>
    <row r="203" spans="1:14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31" t="str">
        <f t="shared" si="9"/>
        <v>Sar1202</v>
      </c>
      <c r="M203" s="31" t="str">
        <f t="shared" si="10"/>
        <v>Prier</v>
      </c>
      <c r="N203" s="31" t="str">
        <f t="shared" si="11"/>
        <v>rint</v>
      </c>
    </row>
    <row r="204" spans="1:14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31" t="str">
        <f t="shared" si="9"/>
        <v>Dee1203</v>
      </c>
      <c r="M204" s="31" t="str">
        <f t="shared" si="10"/>
        <v>Table</v>
      </c>
      <c r="N204" s="31" t="str">
        <f t="shared" si="11"/>
        <v>able</v>
      </c>
    </row>
    <row r="205" spans="1:14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31" t="str">
        <f t="shared" si="9"/>
        <v>Poo1204</v>
      </c>
      <c r="M205" s="31" t="str">
        <f t="shared" si="10"/>
        <v>Penck</v>
      </c>
      <c r="N205" s="31" t="str">
        <f t="shared" si="11"/>
        <v>en P</v>
      </c>
    </row>
    <row r="206" spans="1:14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31" t="str">
        <f t="shared" si="9"/>
        <v>Mee1205</v>
      </c>
      <c r="M206" s="31" t="str">
        <f t="shared" si="10"/>
        <v>Staer</v>
      </c>
      <c r="N206" s="31" t="str">
        <f t="shared" si="11"/>
        <v>tapl</v>
      </c>
    </row>
    <row r="207" spans="1:14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31" t="str">
        <f t="shared" si="9"/>
        <v>Sne1206</v>
      </c>
      <c r="M207" s="31" t="str">
        <f t="shared" si="10"/>
        <v>Notok</v>
      </c>
      <c r="N207" s="31" t="str">
        <f t="shared" si="11"/>
        <v>oteb</v>
      </c>
    </row>
    <row r="208" spans="1:14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31" t="str">
        <f t="shared" si="9"/>
        <v>Sne1207</v>
      </c>
      <c r="M208" s="31" t="str">
        <f t="shared" si="10"/>
        <v>Diary</v>
      </c>
      <c r="N208" s="31" t="str">
        <f t="shared" si="11"/>
        <v>iary</v>
      </c>
    </row>
    <row r="209" spans="1:14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31" t="str">
        <f t="shared" si="9"/>
        <v>Man1208</v>
      </c>
      <c r="M209" s="31" t="str">
        <f t="shared" si="10"/>
        <v>Boolf</v>
      </c>
      <c r="N209" s="31" t="str">
        <f t="shared" si="11"/>
        <v>ooks</v>
      </c>
    </row>
    <row r="210" spans="1:14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31" t="str">
        <f t="shared" si="9"/>
        <v>Nit1209</v>
      </c>
      <c r="M210" s="31" t="str">
        <f t="shared" si="10"/>
        <v>Prier</v>
      </c>
      <c r="N210" s="31" t="str">
        <f t="shared" si="11"/>
        <v>rint</v>
      </c>
    </row>
    <row r="211" spans="1:14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31" t="str">
        <f t="shared" si="9"/>
        <v>Neh1210</v>
      </c>
      <c r="M211" s="31" t="str">
        <f t="shared" si="10"/>
        <v>Diary</v>
      </c>
      <c r="N211" s="31" t="str">
        <f t="shared" si="11"/>
        <v>iary</v>
      </c>
    </row>
    <row r="212" spans="1:14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31" t="str">
        <f t="shared" si="9"/>
        <v>Nit1211</v>
      </c>
      <c r="M212" s="31" t="str">
        <f t="shared" si="10"/>
        <v>Prier</v>
      </c>
      <c r="N212" s="31" t="str">
        <f t="shared" si="11"/>
        <v>rint</v>
      </c>
    </row>
    <row r="213" spans="1:14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31" t="str">
        <f t="shared" si="9"/>
        <v>Ani1212</v>
      </c>
      <c r="M213" s="31" t="str">
        <f t="shared" si="10"/>
        <v>Lapop</v>
      </c>
      <c r="N213" s="31" t="str">
        <f t="shared" si="11"/>
        <v>apto</v>
      </c>
    </row>
    <row r="214" spans="1:14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31" t="str">
        <f t="shared" si="9"/>
        <v>Ash1213</v>
      </c>
      <c r="M214" s="31" t="str">
        <f t="shared" si="10"/>
        <v>Monor</v>
      </c>
      <c r="N214" s="31" t="str">
        <f t="shared" si="11"/>
        <v>onit</v>
      </c>
    </row>
    <row r="215" spans="1:14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31" t="str">
        <f t="shared" si="9"/>
        <v>Nis1214</v>
      </c>
      <c r="M215" s="31" t="str">
        <f t="shared" si="10"/>
        <v>Chair</v>
      </c>
      <c r="N215" s="31" t="str">
        <f t="shared" si="11"/>
        <v>hair</v>
      </c>
    </row>
    <row r="216" spans="1:14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31" t="str">
        <f t="shared" si="9"/>
        <v>Arj1215</v>
      </c>
      <c r="M216" s="31" t="str">
        <f t="shared" si="10"/>
        <v>Chair</v>
      </c>
      <c r="N216" s="31" t="str">
        <f t="shared" si="11"/>
        <v>hair</v>
      </c>
    </row>
    <row r="217" spans="1:14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31" t="str">
        <f t="shared" si="9"/>
        <v>Dee1216</v>
      </c>
      <c r="M217" s="31" t="str">
        <f t="shared" si="10"/>
        <v>Monor</v>
      </c>
      <c r="N217" s="31" t="str">
        <f t="shared" si="11"/>
        <v>onit</v>
      </c>
    </row>
    <row r="218" spans="1:14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31" t="str">
        <f t="shared" si="9"/>
        <v>Neh1217</v>
      </c>
      <c r="M218" s="31" t="str">
        <f t="shared" si="10"/>
        <v>Marer</v>
      </c>
      <c r="N218" s="31" t="str">
        <f t="shared" si="11"/>
        <v>arke</v>
      </c>
    </row>
    <row r="219" spans="1:14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31" t="str">
        <f t="shared" si="9"/>
        <v>Sne1218</v>
      </c>
      <c r="M219" s="31" t="str">
        <f t="shared" si="10"/>
        <v>Notok</v>
      </c>
      <c r="N219" s="31" t="str">
        <f t="shared" si="11"/>
        <v>oteb</v>
      </c>
    </row>
    <row r="220" spans="1:14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31" t="str">
        <f t="shared" si="9"/>
        <v>Kir1219</v>
      </c>
      <c r="M220" s="31" t="str">
        <f t="shared" si="10"/>
        <v>Notok</v>
      </c>
      <c r="N220" s="31" t="str">
        <f t="shared" si="11"/>
        <v>oteb</v>
      </c>
    </row>
    <row r="221" spans="1:14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31" t="str">
        <f t="shared" si="9"/>
        <v>Rit1220</v>
      </c>
      <c r="M221" s="31" t="str">
        <f t="shared" si="10"/>
        <v>Cabet</v>
      </c>
      <c r="N221" s="31" t="str">
        <f t="shared" si="11"/>
        <v>abin</v>
      </c>
    </row>
    <row r="222" spans="1:14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31" t="str">
        <f t="shared" si="9"/>
        <v>Rit1221</v>
      </c>
      <c r="M222" s="31" t="str">
        <f t="shared" si="10"/>
        <v>Cabet</v>
      </c>
      <c r="N222" s="31" t="str">
        <f t="shared" si="11"/>
        <v>abin</v>
      </c>
    </row>
    <row r="223" spans="1:14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31" t="str">
        <f t="shared" si="9"/>
        <v>Neh1222</v>
      </c>
      <c r="M223" s="31" t="str">
        <f t="shared" si="10"/>
        <v>Table</v>
      </c>
      <c r="N223" s="31" t="str">
        <f t="shared" si="11"/>
        <v>able</v>
      </c>
    </row>
    <row r="224" spans="1:14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31" t="str">
        <f t="shared" si="9"/>
        <v>Ani1223</v>
      </c>
      <c r="M224" s="31" t="str">
        <f t="shared" si="10"/>
        <v>Table</v>
      </c>
      <c r="N224" s="31" t="str">
        <f t="shared" si="11"/>
        <v>able</v>
      </c>
    </row>
    <row r="225" spans="1:14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31" t="str">
        <f t="shared" si="9"/>
        <v>Neh1224</v>
      </c>
      <c r="M225" s="31" t="str">
        <f t="shared" si="10"/>
        <v>Monor</v>
      </c>
      <c r="N225" s="31" t="str">
        <f t="shared" si="11"/>
        <v>onit</v>
      </c>
    </row>
    <row r="226" spans="1:14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31" t="str">
        <f t="shared" si="9"/>
        <v>Nis1225</v>
      </c>
      <c r="M226" s="31" t="str">
        <f t="shared" si="10"/>
        <v>Prier</v>
      </c>
      <c r="N226" s="31" t="str">
        <f t="shared" si="11"/>
        <v>rint</v>
      </c>
    </row>
    <row r="227" spans="1:14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31" t="str">
        <f t="shared" si="9"/>
        <v>Pri1226</v>
      </c>
      <c r="M227" s="31" t="str">
        <f t="shared" si="10"/>
        <v>Heaet</v>
      </c>
      <c r="N227" s="31" t="str">
        <f t="shared" si="11"/>
        <v>eads</v>
      </c>
    </row>
    <row r="228" spans="1:14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31" t="str">
        <f t="shared" si="9"/>
        <v>Roh1227</v>
      </c>
      <c r="M228" s="31" t="str">
        <f t="shared" si="10"/>
        <v>Monor</v>
      </c>
      <c r="N228" s="31" t="str">
        <f t="shared" si="11"/>
        <v>onit</v>
      </c>
    </row>
    <row r="229" spans="1:14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31" t="str">
        <f t="shared" si="9"/>
        <v>Pri1228</v>
      </c>
      <c r="M229" s="31" t="str">
        <f t="shared" si="10"/>
        <v>Monor</v>
      </c>
      <c r="N229" s="31" t="str">
        <f t="shared" si="11"/>
        <v>onit</v>
      </c>
    </row>
    <row r="230" spans="1:14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31" t="str">
        <f t="shared" si="9"/>
        <v>Sar1229</v>
      </c>
      <c r="M230" s="31" t="str">
        <f t="shared" si="10"/>
        <v>Cabet</v>
      </c>
      <c r="N230" s="31" t="str">
        <f t="shared" si="11"/>
        <v>abin</v>
      </c>
    </row>
    <row r="231" spans="1:14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31" t="str">
        <f t="shared" si="9"/>
        <v>Ani1230</v>
      </c>
      <c r="M231" s="31" t="str">
        <f t="shared" si="10"/>
        <v>Lapop</v>
      </c>
      <c r="N231" s="31" t="str">
        <f t="shared" si="11"/>
        <v>apto</v>
      </c>
    </row>
    <row r="232" spans="1:14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31" t="str">
        <f t="shared" si="9"/>
        <v>Nit1231</v>
      </c>
      <c r="M232" s="31" t="str">
        <f t="shared" si="10"/>
        <v>Dessk</v>
      </c>
      <c r="N232" s="31" t="str">
        <f t="shared" si="11"/>
        <v>esk</v>
      </c>
    </row>
    <row r="233" spans="1:14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31" t="str">
        <f t="shared" si="9"/>
        <v>Mee1232</v>
      </c>
      <c r="M233" s="31" t="str">
        <f t="shared" si="10"/>
        <v>Lapop</v>
      </c>
      <c r="N233" s="31" t="str">
        <f t="shared" si="11"/>
        <v>apto</v>
      </c>
    </row>
    <row r="234" spans="1:14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31" t="str">
        <f t="shared" si="9"/>
        <v>Roh1233</v>
      </c>
      <c r="M234" s="31" t="str">
        <f t="shared" si="10"/>
        <v>Dessk</v>
      </c>
      <c r="N234" s="31" t="str">
        <f t="shared" si="11"/>
        <v>esk</v>
      </c>
    </row>
    <row r="235" spans="1:14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31" t="str">
        <f t="shared" si="9"/>
        <v>Rit1234</v>
      </c>
      <c r="M235" s="31" t="str">
        <f t="shared" si="10"/>
        <v>Chair</v>
      </c>
      <c r="N235" s="31" t="str">
        <f t="shared" si="11"/>
        <v>hair</v>
      </c>
    </row>
    <row r="236" spans="1:14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31" t="str">
        <f t="shared" si="9"/>
        <v>Sar1235</v>
      </c>
      <c r="M236" s="31" t="str">
        <f t="shared" si="10"/>
        <v>Marer</v>
      </c>
      <c r="N236" s="31" t="str">
        <f t="shared" si="11"/>
        <v>arke</v>
      </c>
    </row>
    <row r="237" spans="1:14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31" t="str">
        <f t="shared" si="9"/>
        <v>Man1236</v>
      </c>
      <c r="M237" s="31" t="str">
        <f t="shared" si="10"/>
        <v>Penck</v>
      </c>
      <c r="N237" s="31" t="str">
        <f t="shared" si="11"/>
        <v>en P</v>
      </c>
    </row>
    <row r="238" spans="1:14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31" t="str">
        <f t="shared" si="9"/>
        <v>Kir1237</v>
      </c>
      <c r="M238" s="31" t="str">
        <f t="shared" si="10"/>
        <v>Cabet</v>
      </c>
      <c r="N238" s="31" t="str">
        <f t="shared" si="11"/>
        <v>abin</v>
      </c>
    </row>
    <row r="239" spans="1:14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31" t="str">
        <f t="shared" si="9"/>
        <v>Neh1238</v>
      </c>
      <c r="M239" s="31" t="str">
        <f t="shared" si="10"/>
        <v>Notok</v>
      </c>
      <c r="N239" s="31" t="str">
        <f t="shared" si="11"/>
        <v>oteb</v>
      </c>
    </row>
    <row r="240" spans="1:14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31" t="str">
        <f t="shared" si="9"/>
        <v>Nit1239</v>
      </c>
      <c r="M240" s="31" t="str">
        <f t="shared" si="10"/>
        <v>Cabet</v>
      </c>
      <c r="N240" s="31" t="str">
        <f t="shared" si="11"/>
        <v>abin</v>
      </c>
    </row>
    <row r="241" spans="1:14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31" t="str">
        <f t="shared" si="9"/>
        <v>Sne1240</v>
      </c>
      <c r="M241" s="31" t="str">
        <f t="shared" si="10"/>
        <v>Table</v>
      </c>
      <c r="N241" s="31" t="str">
        <f t="shared" si="11"/>
        <v>able</v>
      </c>
    </row>
    <row r="242" spans="1:14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31" t="str">
        <f t="shared" si="9"/>
        <v>Kir1241</v>
      </c>
      <c r="M242" s="31" t="str">
        <f t="shared" si="10"/>
        <v>Boolf</v>
      </c>
      <c r="N242" s="31" t="str">
        <f t="shared" si="11"/>
        <v>ooks</v>
      </c>
    </row>
    <row r="243" spans="1:14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31" t="str">
        <f t="shared" si="9"/>
        <v>Man1242</v>
      </c>
      <c r="M243" s="31" t="str">
        <f t="shared" si="10"/>
        <v>Marer</v>
      </c>
      <c r="N243" s="31" t="str">
        <f t="shared" si="11"/>
        <v>arke</v>
      </c>
    </row>
    <row r="244" spans="1:14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31" t="str">
        <f t="shared" si="9"/>
        <v>Neh1243</v>
      </c>
      <c r="M244" s="31" t="str">
        <f t="shared" si="10"/>
        <v>Heaet</v>
      </c>
      <c r="N244" s="31" t="str">
        <f t="shared" si="11"/>
        <v>eads</v>
      </c>
    </row>
    <row r="245" spans="1:14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31" t="str">
        <f t="shared" si="9"/>
        <v>Sar1244</v>
      </c>
      <c r="M245" s="31" t="str">
        <f t="shared" si="10"/>
        <v>Chair</v>
      </c>
      <c r="N245" s="31" t="str">
        <f t="shared" si="11"/>
        <v>hair</v>
      </c>
    </row>
    <row r="246" spans="1:14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31" t="str">
        <f t="shared" si="9"/>
        <v>Sne1245</v>
      </c>
      <c r="M246" s="31" t="str">
        <f t="shared" si="10"/>
        <v>Heaet</v>
      </c>
      <c r="N246" s="31" t="str">
        <f t="shared" si="11"/>
        <v>eads</v>
      </c>
    </row>
    <row r="247" spans="1:14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31" t="str">
        <f t="shared" si="9"/>
        <v>Sne1246</v>
      </c>
      <c r="M247" s="31" t="str">
        <f t="shared" si="10"/>
        <v>Prier</v>
      </c>
      <c r="N247" s="31" t="str">
        <f t="shared" si="11"/>
        <v>rint</v>
      </c>
    </row>
    <row r="248" spans="1:14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31" t="str">
        <f t="shared" si="9"/>
        <v>Vik1247</v>
      </c>
      <c r="M248" s="31" t="str">
        <f t="shared" si="10"/>
        <v>Marer</v>
      </c>
      <c r="N248" s="31" t="str">
        <f t="shared" si="11"/>
        <v>arke</v>
      </c>
    </row>
    <row r="249" spans="1:14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31" t="str">
        <f t="shared" si="9"/>
        <v>Arj1248</v>
      </c>
      <c r="M249" s="31" t="str">
        <f t="shared" si="10"/>
        <v>Penck</v>
      </c>
      <c r="N249" s="31" t="str">
        <f t="shared" si="11"/>
        <v>en P</v>
      </c>
    </row>
    <row r="250" spans="1:14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31" t="str">
        <f t="shared" si="9"/>
        <v>Poo1249</v>
      </c>
      <c r="M250" s="31" t="str">
        <f t="shared" si="10"/>
        <v>Heaet</v>
      </c>
      <c r="N250" s="31" t="str">
        <f t="shared" si="11"/>
        <v>eads</v>
      </c>
    </row>
    <row r="251" spans="1:14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31" t="str">
        <f t="shared" si="9"/>
        <v>Rit1250</v>
      </c>
      <c r="M251" s="31" t="str">
        <f t="shared" si="10"/>
        <v>Monor</v>
      </c>
      <c r="N251" s="31" t="str">
        <f t="shared" si="11"/>
        <v>onit</v>
      </c>
    </row>
    <row r="252" spans="1:14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31" t="str">
        <f t="shared" si="9"/>
        <v>Sne1251</v>
      </c>
      <c r="M252" s="31" t="str">
        <f t="shared" si="10"/>
        <v>Mouse</v>
      </c>
      <c r="N252" s="31" t="str">
        <f t="shared" si="11"/>
        <v>ouse</v>
      </c>
    </row>
    <row r="253" spans="1:14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31" t="str">
        <f t="shared" si="9"/>
        <v>Yas1252</v>
      </c>
      <c r="M253" s="31" t="str">
        <f t="shared" si="10"/>
        <v>Staer</v>
      </c>
      <c r="N253" s="31" t="str">
        <f t="shared" si="11"/>
        <v>tapl</v>
      </c>
    </row>
    <row r="254" spans="1:14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31" t="str">
        <f t="shared" si="9"/>
        <v>Mee1253</v>
      </c>
      <c r="M254" s="31" t="str">
        <f t="shared" si="10"/>
        <v>Monor</v>
      </c>
      <c r="N254" s="31" t="str">
        <f t="shared" si="11"/>
        <v>onit</v>
      </c>
    </row>
    <row r="255" spans="1:14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31" t="str">
        <f t="shared" si="9"/>
        <v>Kom1254</v>
      </c>
      <c r="M255" s="31" t="str">
        <f t="shared" si="10"/>
        <v>Marer</v>
      </c>
      <c r="N255" s="31" t="str">
        <f t="shared" si="11"/>
        <v>arke</v>
      </c>
    </row>
    <row r="256" spans="1:14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31" t="str">
        <f t="shared" si="9"/>
        <v>Ash1255</v>
      </c>
      <c r="M256" s="31" t="str">
        <f t="shared" si="10"/>
        <v>Dessk</v>
      </c>
      <c r="N256" s="31" t="str">
        <f t="shared" si="11"/>
        <v>esk</v>
      </c>
    </row>
    <row r="257" spans="1:14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31" t="str">
        <f t="shared" si="9"/>
        <v>Nit1256</v>
      </c>
      <c r="M257" s="31" t="str">
        <f t="shared" si="10"/>
        <v>Marer</v>
      </c>
      <c r="N257" s="31" t="str">
        <f t="shared" si="11"/>
        <v>arke</v>
      </c>
    </row>
    <row r="258" spans="1:14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31" t="str">
        <f t="shared" si="9"/>
        <v>Man1257</v>
      </c>
      <c r="M258" s="31" t="str">
        <f t="shared" si="10"/>
        <v>Mouse</v>
      </c>
      <c r="N258" s="31" t="str">
        <f t="shared" si="11"/>
        <v>ouse</v>
      </c>
    </row>
    <row r="259" spans="1:14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31" t="str">
        <f t="shared" ref="L259:L322" si="12">LEFT(B259,3)&amp;A259</f>
        <v>Ash1258</v>
      </c>
      <c r="M259" s="31" t="str">
        <f t="shared" ref="M259:M322" si="13">LEFT(E259,3)&amp;RIGHT(E259,2)</f>
        <v>Lapop</v>
      </c>
      <c r="N259" s="31" t="str">
        <f t="shared" ref="N259:N322" si="14">MID(E259,2,4)</f>
        <v>apto</v>
      </c>
    </row>
    <row r="260" spans="1:14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31" t="str">
        <f t="shared" si="12"/>
        <v>Nis1259</v>
      </c>
      <c r="M260" s="31" t="str">
        <f t="shared" si="13"/>
        <v>Monor</v>
      </c>
      <c r="N260" s="31" t="str">
        <f t="shared" si="14"/>
        <v>onit</v>
      </c>
    </row>
    <row r="261" spans="1:14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31" t="str">
        <f t="shared" si="12"/>
        <v>Man1260</v>
      </c>
      <c r="M261" s="31" t="str">
        <f t="shared" si="13"/>
        <v>Heaet</v>
      </c>
      <c r="N261" s="31" t="str">
        <f t="shared" si="14"/>
        <v>eads</v>
      </c>
    </row>
    <row r="262" spans="1:14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31" t="str">
        <f t="shared" si="12"/>
        <v>Dee1261</v>
      </c>
      <c r="M262" s="31" t="str">
        <f t="shared" si="13"/>
        <v>Marer</v>
      </c>
      <c r="N262" s="31" t="str">
        <f t="shared" si="14"/>
        <v>arke</v>
      </c>
    </row>
    <row r="263" spans="1:14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31" t="str">
        <f t="shared" si="12"/>
        <v>Poo1262</v>
      </c>
      <c r="M263" s="31" t="str">
        <f t="shared" si="13"/>
        <v>Chair</v>
      </c>
      <c r="N263" s="31" t="str">
        <f t="shared" si="14"/>
        <v>hair</v>
      </c>
    </row>
    <row r="264" spans="1:14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31" t="str">
        <f t="shared" si="12"/>
        <v>Pri1263</v>
      </c>
      <c r="M264" s="31" t="str">
        <f t="shared" si="13"/>
        <v>Chair</v>
      </c>
      <c r="N264" s="31" t="str">
        <f t="shared" si="14"/>
        <v>hair</v>
      </c>
    </row>
    <row r="265" spans="1:14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31" t="str">
        <f t="shared" si="12"/>
        <v>Rit1264</v>
      </c>
      <c r="M265" s="31" t="str">
        <f t="shared" si="13"/>
        <v>Chair</v>
      </c>
      <c r="N265" s="31" t="str">
        <f t="shared" si="14"/>
        <v>hair</v>
      </c>
    </row>
    <row r="266" spans="1:14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31" t="str">
        <f t="shared" si="12"/>
        <v>Roh1265</v>
      </c>
      <c r="M266" s="31" t="str">
        <f t="shared" si="13"/>
        <v>Dessk</v>
      </c>
      <c r="N266" s="31" t="str">
        <f t="shared" si="14"/>
        <v>esk</v>
      </c>
    </row>
    <row r="267" spans="1:14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31" t="str">
        <f t="shared" si="12"/>
        <v>Pri1266</v>
      </c>
      <c r="M267" s="31" t="str">
        <f t="shared" si="13"/>
        <v>Notok</v>
      </c>
      <c r="N267" s="31" t="str">
        <f t="shared" si="14"/>
        <v>oteb</v>
      </c>
    </row>
    <row r="268" spans="1:14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31" t="str">
        <f t="shared" si="12"/>
        <v>Arj1267</v>
      </c>
      <c r="M268" s="31" t="str">
        <f t="shared" si="13"/>
        <v>Marer</v>
      </c>
      <c r="N268" s="31" t="str">
        <f t="shared" si="14"/>
        <v>arke</v>
      </c>
    </row>
    <row r="269" spans="1:14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31" t="str">
        <f t="shared" si="12"/>
        <v>Nis1268</v>
      </c>
      <c r="M269" s="31" t="str">
        <f t="shared" si="13"/>
        <v>Monor</v>
      </c>
      <c r="N269" s="31" t="str">
        <f t="shared" si="14"/>
        <v>onit</v>
      </c>
    </row>
    <row r="270" spans="1:14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31" t="str">
        <f t="shared" si="12"/>
        <v>Kom1269</v>
      </c>
      <c r="M270" s="31" t="str">
        <f t="shared" si="13"/>
        <v>Dessk</v>
      </c>
      <c r="N270" s="31" t="str">
        <f t="shared" si="14"/>
        <v>esk</v>
      </c>
    </row>
    <row r="271" spans="1:14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31" t="str">
        <f t="shared" si="12"/>
        <v>Aja1270</v>
      </c>
      <c r="M271" s="31" t="str">
        <f t="shared" si="13"/>
        <v>Prier</v>
      </c>
      <c r="N271" s="31" t="str">
        <f t="shared" si="14"/>
        <v>rint</v>
      </c>
    </row>
    <row r="272" spans="1:14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31" t="str">
        <f t="shared" si="12"/>
        <v>Dee1271</v>
      </c>
      <c r="M272" s="31" t="str">
        <f t="shared" si="13"/>
        <v>Lapop</v>
      </c>
      <c r="N272" s="31" t="str">
        <f t="shared" si="14"/>
        <v>apto</v>
      </c>
    </row>
    <row r="273" spans="1:14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31" t="str">
        <f t="shared" si="12"/>
        <v>Kom1272</v>
      </c>
      <c r="M273" s="31" t="str">
        <f t="shared" si="13"/>
        <v>Heaet</v>
      </c>
      <c r="N273" s="31" t="str">
        <f t="shared" si="14"/>
        <v>eads</v>
      </c>
    </row>
    <row r="274" spans="1:14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31" t="str">
        <f t="shared" si="12"/>
        <v>Kir1273</v>
      </c>
      <c r="M274" s="31" t="str">
        <f t="shared" si="13"/>
        <v>Keyrd</v>
      </c>
      <c r="N274" s="31" t="str">
        <f t="shared" si="14"/>
        <v>eybo</v>
      </c>
    </row>
    <row r="275" spans="1:14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31" t="str">
        <f t="shared" si="12"/>
        <v>Vik1274</v>
      </c>
      <c r="M275" s="31" t="str">
        <f t="shared" si="13"/>
        <v>Heaet</v>
      </c>
      <c r="N275" s="31" t="str">
        <f t="shared" si="14"/>
        <v>eads</v>
      </c>
    </row>
    <row r="276" spans="1:14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31" t="str">
        <f t="shared" si="12"/>
        <v>Poo1275</v>
      </c>
      <c r="M276" s="31" t="str">
        <f t="shared" si="13"/>
        <v>Marer</v>
      </c>
      <c r="N276" s="31" t="str">
        <f t="shared" si="14"/>
        <v>arke</v>
      </c>
    </row>
    <row r="277" spans="1:14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31" t="str">
        <f t="shared" si="12"/>
        <v>Dee1276</v>
      </c>
      <c r="M277" s="31" t="str">
        <f t="shared" si="13"/>
        <v>Dessk</v>
      </c>
      <c r="N277" s="31" t="str">
        <f t="shared" si="14"/>
        <v>esk</v>
      </c>
    </row>
    <row r="278" spans="1:14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31" t="str">
        <f t="shared" si="12"/>
        <v>Ani1277</v>
      </c>
      <c r="M278" s="31" t="str">
        <f t="shared" si="13"/>
        <v>Staer</v>
      </c>
      <c r="N278" s="31" t="str">
        <f t="shared" si="14"/>
        <v>tapl</v>
      </c>
    </row>
    <row r="279" spans="1:14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31" t="str">
        <f t="shared" si="12"/>
        <v>Yas1278</v>
      </c>
      <c r="M279" s="31" t="str">
        <f t="shared" si="13"/>
        <v>Mouse</v>
      </c>
      <c r="N279" s="31" t="str">
        <f t="shared" si="14"/>
        <v>ouse</v>
      </c>
    </row>
    <row r="280" spans="1:14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31" t="str">
        <f t="shared" si="12"/>
        <v>Sne1279</v>
      </c>
      <c r="M280" s="31" t="str">
        <f t="shared" si="13"/>
        <v>Monor</v>
      </c>
      <c r="N280" s="31" t="str">
        <f t="shared" si="14"/>
        <v>onit</v>
      </c>
    </row>
    <row r="281" spans="1:14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31" t="str">
        <f t="shared" si="12"/>
        <v>Ani1280</v>
      </c>
      <c r="M281" s="31" t="str">
        <f t="shared" si="13"/>
        <v>Diary</v>
      </c>
      <c r="N281" s="31" t="str">
        <f t="shared" si="14"/>
        <v>iary</v>
      </c>
    </row>
    <row r="282" spans="1:14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31" t="str">
        <f t="shared" si="12"/>
        <v>Sne1281</v>
      </c>
      <c r="M282" s="31" t="str">
        <f t="shared" si="13"/>
        <v>Marer</v>
      </c>
      <c r="N282" s="31" t="str">
        <f t="shared" si="14"/>
        <v>arke</v>
      </c>
    </row>
    <row r="283" spans="1:14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31" t="str">
        <f t="shared" si="12"/>
        <v>Sar1282</v>
      </c>
      <c r="M283" s="31" t="str">
        <f t="shared" si="13"/>
        <v>Boolf</v>
      </c>
      <c r="N283" s="31" t="str">
        <f t="shared" si="14"/>
        <v>ooks</v>
      </c>
    </row>
    <row r="284" spans="1:14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31" t="str">
        <f t="shared" si="12"/>
        <v>Dee1283</v>
      </c>
      <c r="M284" s="31" t="str">
        <f t="shared" si="13"/>
        <v>Table</v>
      </c>
      <c r="N284" s="31" t="str">
        <f t="shared" si="14"/>
        <v>able</v>
      </c>
    </row>
    <row r="285" spans="1:14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31" t="str">
        <f t="shared" si="12"/>
        <v>Dee1284</v>
      </c>
      <c r="M285" s="31" t="str">
        <f t="shared" si="13"/>
        <v>Penck</v>
      </c>
      <c r="N285" s="31" t="str">
        <f t="shared" si="14"/>
        <v>en P</v>
      </c>
    </row>
    <row r="286" spans="1:14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31" t="str">
        <f t="shared" si="12"/>
        <v>Ash1285</v>
      </c>
      <c r="M286" s="31" t="str">
        <f t="shared" si="13"/>
        <v>Staer</v>
      </c>
      <c r="N286" s="31" t="str">
        <f t="shared" si="14"/>
        <v>tapl</v>
      </c>
    </row>
    <row r="287" spans="1:14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31" t="str">
        <f t="shared" si="12"/>
        <v>Kir1286</v>
      </c>
      <c r="M287" s="31" t="str">
        <f t="shared" si="13"/>
        <v>Cabet</v>
      </c>
      <c r="N287" s="31" t="str">
        <f t="shared" si="14"/>
        <v>abin</v>
      </c>
    </row>
    <row r="288" spans="1:14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31" t="str">
        <f t="shared" si="12"/>
        <v>Ani1287</v>
      </c>
      <c r="M288" s="31" t="str">
        <f t="shared" si="13"/>
        <v>Notok</v>
      </c>
      <c r="N288" s="31" t="str">
        <f t="shared" si="14"/>
        <v>oteb</v>
      </c>
    </row>
    <row r="289" spans="1:14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31" t="str">
        <f t="shared" si="12"/>
        <v>Man1288</v>
      </c>
      <c r="M289" s="31" t="str">
        <f t="shared" si="13"/>
        <v>Lapop</v>
      </c>
      <c r="N289" s="31" t="str">
        <f t="shared" si="14"/>
        <v>apto</v>
      </c>
    </row>
    <row r="290" spans="1:14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31" t="str">
        <f t="shared" si="12"/>
        <v>Vik1289</v>
      </c>
      <c r="M290" s="31" t="str">
        <f t="shared" si="13"/>
        <v>Monor</v>
      </c>
      <c r="N290" s="31" t="str">
        <f t="shared" si="14"/>
        <v>onit</v>
      </c>
    </row>
    <row r="291" spans="1:14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31" t="str">
        <f t="shared" si="12"/>
        <v>Vik1290</v>
      </c>
      <c r="M291" s="31" t="str">
        <f t="shared" si="13"/>
        <v>Prier</v>
      </c>
      <c r="N291" s="31" t="str">
        <f t="shared" si="14"/>
        <v>rint</v>
      </c>
    </row>
    <row r="292" spans="1:14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31" t="str">
        <f t="shared" si="12"/>
        <v>Mee1291</v>
      </c>
      <c r="M292" s="31" t="str">
        <f t="shared" si="13"/>
        <v>Staer</v>
      </c>
      <c r="N292" s="31" t="str">
        <f t="shared" si="14"/>
        <v>tapl</v>
      </c>
    </row>
    <row r="293" spans="1:14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31" t="str">
        <f t="shared" si="12"/>
        <v>Man1292</v>
      </c>
      <c r="M293" s="31" t="str">
        <f t="shared" si="13"/>
        <v>Mouse</v>
      </c>
      <c r="N293" s="31" t="str">
        <f t="shared" si="14"/>
        <v>ouse</v>
      </c>
    </row>
    <row r="294" spans="1:14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31" t="str">
        <f t="shared" si="12"/>
        <v>Aja1293</v>
      </c>
      <c r="M294" s="31" t="str">
        <f t="shared" si="13"/>
        <v>Table</v>
      </c>
      <c r="N294" s="31" t="str">
        <f t="shared" si="14"/>
        <v>able</v>
      </c>
    </row>
    <row r="295" spans="1:14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31" t="str">
        <f t="shared" si="12"/>
        <v>Mee1294</v>
      </c>
      <c r="M295" s="31" t="str">
        <f t="shared" si="13"/>
        <v>Dessk</v>
      </c>
      <c r="N295" s="31" t="str">
        <f t="shared" si="14"/>
        <v>esk</v>
      </c>
    </row>
    <row r="296" spans="1:14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31" t="str">
        <f t="shared" si="12"/>
        <v>Kom1295</v>
      </c>
      <c r="M296" s="31" t="str">
        <f t="shared" si="13"/>
        <v>Chair</v>
      </c>
      <c r="N296" s="31" t="str">
        <f t="shared" si="14"/>
        <v>hair</v>
      </c>
    </row>
    <row r="297" spans="1:14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31" t="str">
        <f t="shared" si="12"/>
        <v>Vik1296</v>
      </c>
      <c r="M297" s="31" t="str">
        <f t="shared" si="13"/>
        <v>Marer</v>
      </c>
      <c r="N297" s="31" t="str">
        <f t="shared" si="14"/>
        <v>arke</v>
      </c>
    </row>
    <row r="298" spans="1:14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31" t="str">
        <f t="shared" si="12"/>
        <v>Man1297</v>
      </c>
      <c r="M298" s="31" t="str">
        <f t="shared" si="13"/>
        <v>Prier</v>
      </c>
      <c r="N298" s="31" t="str">
        <f t="shared" si="14"/>
        <v>rint</v>
      </c>
    </row>
    <row r="299" spans="1:14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31" t="str">
        <f t="shared" si="12"/>
        <v>Mee1298</v>
      </c>
      <c r="M299" s="31" t="str">
        <f t="shared" si="13"/>
        <v>Mouse</v>
      </c>
      <c r="N299" s="31" t="str">
        <f t="shared" si="14"/>
        <v>ouse</v>
      </c>
    </row>
    <row r="300" spans="1:14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31" t="str">
        <f t="shared" si="12"/>
        <v>Vik1299</v>
      </c>
      <c r="M300" s="31" t="str">
        <f t="shared" si="13"/>
        <v>Cabet</v>
      </c>
      <c r="N300" s="31" t="str">
        <f t="shared" si="14"/>
        <v>abin</v>
      </c>
    </row>
    <row r="301" spans="1:14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31" t="str">
        <f t="shared" si="12"/>
        <v>Yas1300</v>
      </c>
      <c r="M301" s="31" t="str">
        <f t="shared" si="13"/>
        <v>Monor</v>
      </c>
      <c r="N301" s="31" t="str">
        <f t="shared" si="14"/>
        <v>onit</v>
      </c>
    </row>
    <row r="302" spans="1:14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31" t="str">
        <f t="shared" si="12"/>
        <v>Man1301</v>
      </c>
      <c r="M302" s="31" t="str">
        <f t="shared" si="13"/>
        <v>Chair</v>
      </c>
      <c r="N302" s="31" t="str">
        <f t="shared" si="14"/>
        <v>hair</v>
      </c>
    </row>
    <row r="303" spans="1:14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31" t="str">
        <f t="shared" si="12"/>
        <v>Sar1302</v>
      </c>
      <c r="M303" s="31" t="str">
        <f t="shared" si="13"/>
        <v>Prier</v>
      </c>
      <c r="N303" s="31" t="str">
        <f t="shared" si="14"/>
        <v>rint</v>
      </c>
    </row>
    <row r="304" spans="1:14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31" t="str">
        <f t="shared" si="12"/>
        <v>Sar1303</v>
      </c>
      <c r="M304" s="31" t="str">
        <f t="shared" si="13"/>
        <v>Prier</v>
      </c>
      <c r="N304" s="31" t="str">
        <f t="shared" si="14"/>
        <v>rint</v>
      </c>
    </row>
    <row r="305" spans="1:14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31" t="str">
        <f t="shared" si="12"/>
        <v>Ani1304</v>
      </c>
      <c r="M305" s="31" t="str">
        <f t="shared" si="13"/>
        <v>Staer</v>
      </c>
      <c r="N305" s="31" t="str">
        <f t="shared" si="14"/>
        <v>tapl</v>
      </c>
    </row>
    <row r="306" spans="1:14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31" t="str">
        <f t="shared" si="12"/>
        <v>Roh1305</v>
      </c>
      <c r="M306" s="31" t="str">
        <f t="shared" si="13"/>
        <v>Lapop</v>
      </c>
      <c r="N306" s="31" t="str">
        <f t="shared" si="14"/>
        <v>apto</v>
      </c>
    </row>
    <row r="307" spans="1:14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31" t="str">
        <f t="shared" si="12"/>
        <v>Man1306</v>
      </c>
      <c r="M307" s="31" t="str">
        <f t="shared" si="13"/>
        <v>Staer</v>
      </c>
      <c r="N307" s="31" t="str">
        <f t="shared" si="14"/>
        <v>tapl</v>
      </c>
    </row>
    <row r="308" spans="1:14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31" t="str">
        <f t="shared" si="12"/>
        <v>Sar1307</v>
      </c>
      <c r="M308" s="31" t="str">
        <f t="shared" si="13"/>
        <v>Prier</v>
      </c>
      <c r="N308" s="31" t="str">
        <f t="shared" si="14"/>
        <v>rint</v>
      </c>
    </row>
    <row r="309" spans="1:14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31" t="str">
        <f t="shared" si="12"/>
        <v>Neh1308</v>
      </c>
      <c r="M309" s="31" t="str">
        <f t="shared" si="13"/>
        <v>Heaet</v>
      </c>
      <c r="N309" s="31" t="str">
        <f t="shared" si="14"/>
        <v>eads</v>
      </c>
    </row>
    <row r="310" spans="1:14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31" t="str">
        <f t="shared" si="12"/>
        <v>Pri1309</v>
      </c>
      <c r="M310" s="31" t="str">
        <f t="shared" si="13"/>
        <v>Marer</v>
      </c>
      <c r="N310" s="31" t="str">
        <f t="shared" si="14"/>
        <v>arke</v>
      </c>
    </row>
    <row r="311" spans="1:14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31" t="str">
        <f t="shared" si="12"/>
        <v>Aja1310</v>
      </c>
      <c r="M311" s="31" t="str">
        <f t="shared" si="13"/>
        <v>Cabet</v>
      </c>
      <c r="N311" s="31" t="str">
        <f t="shared" si="14"/>
        <v>abin</v>
      </c>
    </row>
    <row r="312" spans="1:14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31" t="str">
        <f t="shared" si="12"/>
        <v>Sne1311</v>
      </c>
      <c r="M312" s="31" t="str">
        <f t="shared" si="13"/>
        <v>Notok</v>
      </c>
      <c r="N312" s="31" t="str">
        <f t="shared" si="14"/>
        <v>oteb</v>
      </c>
    </row>
    <row r="313" spans="1:14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31" t="str">
        <f t="shared" si="12"/>
        <v>Sar1312</v>
      </c>
      <c r="M313" s="31" t="str">
        <f t="shared" si="13"/>
        <v>Cabet</v>
      </c>
      <c r="N313" s="31" t="str">
        <f t="shared" si="14"/>
        <v>abin</v>
      </c>
    </row>
    <row r="314" spans="1:14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31" t="str">
        <f t="shared" si="12"/>
        <v>Ani1313</v>
      </c>
      <c r="M314" s="31" t="str">
        <f t="shared" si="13"/>
        <v>Cabet</v>
      </c>
      <c r="N314" s="31" t="str">
        <f t="shared" si="14"/>
        <v>abin</v>
      </c>
    </row>
    <row r="315" spans="1:14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31" t="str">
        <f t="shared" si="12"/>
        <v>Kom1314</v>
      </c>
      <c r="M315" s="31" t="str">
        <f t="shared" si="13"/>
        <v>Dessk</v>
      </c>
      <c r="N315" s="31" t="str">
        <f t="shared" si="14"/>
        <v>esk</v>
      </c>
    </row>
    <row r="316" spans="1:14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31" t="str">
        <f t="shared" si="12"/>
        <v>Aja1315</v>
      </c>
      <c r="M316" s="31" t="str">
        <f t="shared" si="13"/>
        <v>Heaet</v>
      </c>
      <c r="N316" s="31" t="str">
        <f t="shared" si="14"/>
        <v>eads</v>
      </c>
    </row>
    <row r="317" spans="1:14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31" t="str">
        <f t="shared" si="12"/>
        <v>Kir1316</v>
      </c>
      <c r="M317" s="31" t="str">
        <f t="shared" si="13"/>
        <v>Chair</v>
      </c>
      <c r="N317" s="31" t="str">
        <f t="shared" si="14"/>
        <v>hair</v>
      </c>
    </row>
    <row r="318" spans="1:14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31" t="str">
        <f t="shared" si="12"/>
        <v>Ani1317</v>
      </c>
      <c r="M318" s="31" t="str">
        <f t="shared" si="13"/>
        <v>Heaet</v>
      </c>
      <c r="N318" s="31" t="str">
        <f t="shared" si="14"/>
        <v>eads</v>
      </c>
    </row>
    <row r="319" spans="1:14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31" t="str">
        <f t="shared" si="12"/>
        <v>Rit1318</v>
      </c>
      <c r="M319" s="31" t="str">
        <f t="shared" si="13"/>
        <v>Marer</v>
      </c>
      <c r="N319" s="31" t="str">
        <f t="shared" si="14"/>
        <v>arke</v>
      </c>
    </row>
    <row r="320" spans="1:14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31" t="str">
        <f t="shared" si="12"/>
        <v>Mee1319</v>
      </c>
      <c r="M320" s="31" t="str">
        <f t="shared" si="13"/>
        <v>Mouse</v>
      </c>
      <c r="N320" s="31" t="str">
        <f t="shared" si="14"/>
        <v>ouse</v>
      </c>
    </row>
    <row r="321" spans="1:14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31" t="str">
        <f t="shared" si="12"/>
        <v>Yas1320</v>
      </c>
      <c r="M321" s="31" t="str">
        <f t="shared" si="13"/>
        <v>Staer</v>
      </c>
      <c r="N321" s="31" t="str">
        <f t="shared" si="14"/>
        <v>tapl</v>
      </c>
    </row>
    <row r="322" spans="1:14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31" t="str">
        <f t="shared" si="12"/>
        <v>Ash1321</v>
      </c>
      <c r="M322" s="31" t="str">
        <f t="shared" si="13"/>
        <v>Dessk</v>
      </c>
      <c r="N322" s="31" t="str">
        <f t="shared" si="14"/>
        <v>esk</v>
      </c>
    </row>
    <row r="323" spans="1:14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31" t="str">
        <f t="shared" ref="L323:L386" si="15">LEFT(B323,3)&amp;A323</f>
        <v>Arj1322</v>
      </c>
      <c r="M323" s="31" t="str">
        <f t="shared" ref="M323:M386" si="16">LEFT(E323,3)&amp;RIGHT(E323,2)</f>
        <v>Table</v>
      </c>
      <c r="N323" s="31" t="str">
        <f t="shared" ref="N323:N386" si="17">MID(E323,2,4)</f>
        <v>able</v>
      </c>
    </row>
    <row r="324" spans="1:14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31" t="str">
        <f t="shared" si="15"/>
        <v>Sar1323</v>
      </c>
      <c r="M324" s="31" t="str">
        <f t="shared" si="16"/>
        <v>Mouse</v>
      </c>
      <c r="N324" s="31" t="str">
        <f t="shared" si="17"/>
        <v>ouse</v>
      </c>
    </row>
    <row r="325" spans="1:14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31" t="str">
        <f t="shared" si="15"/>
        <v>Ash1324</v>
      </c>
      <c r="M325" s="31" t="str">
        <f t="shared" si="16"/>
        <v>Dessk</v>
      </c>
      <c r="N325" s="31" t="str">
        <f t="shared" si="17"/>
        <v>esk</v>
      </c>
    </row>
    <row r="326" spans="1:14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31" t="str">
        <f t="shared" si="15"/>
        <v>Nit1325</v>
      </c>
      <c r="M326" s="31" t="str">
        <f t="shared" si="16"/>
        <v>Keyrd</v>
      </c>
      <c r="N326" s="31" t="str">
        <f t="shared" si="17"/>
        <v>eybo</v>
      </c>
    </row>
    <row r="327" spans="1:14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31" t="str">
        <f t="shared" si="15"/>
        <v>Vik1326</v>
      </c>
      <c r="M327" s="31" t="str">
        <f t="shared" si="16"/>
        <v>Boolf</v>
      </c>
      <c r="N327" s="31" t="str">
        <f t="shared" si="17"/>
        <v>ooks</v>
      </c>
    </row>
    <row r="328" spans="1:14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31" t="str">
        <f t="shared" si="15"/>
        <v>Nit1327</v>
      </c>
      <c r="M328" s="31" t="str">
        <f t="shared" si="16"/>
        <v>Diary</v>
      </c>
      <c r="N328" s="31" t="str">
        <f t="shared" si="17"/>
        <v>iary</v>
      </c>
    </row>
    <row r="329" spans="1:14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31" t="str">
        <f t="shared" si="15"/>
        <v>Poo1328</v>
      </c>
      <c r="M329" s="31" t="str">
        <f t="shared" si="16"/>
        <v>Staer</v>
      </c>
      <c r="N329" s="31" t="str">
        <f t="shared" si="17"/>
        <v>tapl</v>
      </c>
    </row>
    <row r="330" spans="1:14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31" t="str">
        <f t="shared" si="15"/>
        <v>Neh1329</v>
      </c>
      <c r="M330" s="31" t="str">
        <f t="shared" si="16"/>
        <v>Diary</v>
      </c>
      <c r="N330" s="31" t="str">
        <f t="shared" si="17"/>
        <v>iary</v>
      </c>
    </row>
    <row r="331" spans="1:14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31" t="str">
        <f t="shared" si="15"/>
        <v>Aja1330</v>
      </c>
      <c r="M331" s="31" t="str">
        <f t="shared" si="16"/>
        <v>Dessk</v>
      </c>
      <c r="N331" s="31" t="str">
        <f t="shared" si="17"/>
        <v>esk</v>
      </c>
    </row>
    <row r="332" spans="1:14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31" t="str">
        <f t="shared" si="15"/>
        <v>Mee1331</v>
      </c>
      <c r="M332" s="31" t="str">
        <f t="shared" si="16"/>
        <v>Mouse</v>
      </c>
      <c r="N332" s="31" t="str">
        <f t="shared" si="17"/>
        <v>ouse</v>
      </c>
    </row>
    <row r="333" spans="1:14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31" t="str">
        <f t="shared" si="15"/>
        <v>Pri1332</v>
      </c>
      <c r="M333" s="31" t="str">
        <f t="shared" si="16"/>
        <v>Marer</v>
      </c>
      <c r="N333" s="31" t="str">
        <f t="shared" si="17"/>
        <v>arke</v>
      </c>
    </row>
    <row r="334" spans="1:14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31" t="str">
        <f t="shared" si="15"/>
        <v>Pri1333</v>
      </c>
      <c r="M334" s="31" t="str">
        <f t="shared" si="16"/>
        <v>Diary</v>
      </c>
      <c r="N334" s="31" t="str">
        <f t="shared" si="17"/>
        <v>iary</v>
      </c>
    </row>
    <row r="335" spans="1:14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31" t="str">
        <f t="shared" si="15"/>
        <v>Dee1334</v>
      </c>
      <c r="M335" s="31" t="str">
        <f t="shared" si="16"/>
        <v>Heaet</v>
      </c>
      <c r="N335" s="31" t="str">
        <f t="shared" si="17"/>
        <v>eads</v>
      </c>
    </row>
    <row r="336" spans="1:14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31" t="str">
        <f t="shared" si="15"/>
        <v>Yas1335</v>
      </c>
      <c r="M336" s="31" t="str">
        <f t="shared" si="16"/>
        <v>Dessk</v>
      </c>
      <c r="N336" s="31" t="str">
        <f t="shared" si="17"/>
        <v>esk</v>
      </c>
    </row>
    <row r="337" spans="1:14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31" t="str">
        <f t="shared" si="15"/>
        <v>Poo1336</v>
      </c>
      <c r="M337" s="31" t="str">
        <f t="shared" si="16"/>
        <v>Cabet</v>
      </c>
      <c r="N337" s="31" t="str">
        <f t="shared" si="17"/>
        <v>abin</v>
      </c>
    </row>
    <row r="338" spans="1:14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31" t="str">
        <f t="shared" si="15"/>
        <v>Poo1337</v>
      </c>
      <c r="M338" s="31" t="str">
        <f t="shared" si="16"/>
        <v>Diary</v>
      </c>
      <c r="N338" s="31" t="str">
        <f t="shared" si="17"/>
        <v>iary</v>
      </c>
    </row>
    <row r="339" spans="1:14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31" t="str">
        <f t="shared" si="15"/>
        <v>Ani1338</v>
      </c>
      <c r="M339" s="31" t="str">
        <f t="shared" si="16"/>
        <v>Lapop</v>
      </c>
      <c r="N339" s="31" t="str">
        <f t="shared" si="17"/>
        <v>apto</v>
      </c>
    </row>
    <row r="340" spans="1:14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31" t="str">
        <f t="shared" si="15"/>
        <v>Ash1339</v>
      </c>
      <c r="M340" s="31" t="str">
        <f t="shared" si="16"/>
        <v>Notok</v>
      </c>
      <c r="N340" s="31" t="str">
        <f t="shared" si="17"/>
        <v>oteb</v>
      </c>
    </row>
    <row r="341" spans="1:14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31" t="str">
        <f t="shared" si="15"/>
        <v>Nit1340</v>
      </c>
      <c r="M341" s="31" t="str">
        <f t="shared" si="16"/>
        <v>Dessk</v>
      </c>
      <c r="N341" s="31" t="str">
        <f t="shared" si="17"/>
        <v>esk</v>
      </c>
    </row>
    <row r="342" spans="1:14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31" t="str">
        <f t="shared" si="15"/>
        <v>Sar1341</v>
      </c>
      <c r="M342" s="31" t="str">
        <f t="shared" si="16"/>
        <v>Dessk</v>
      </c>
      <c r="N342" s="31" t="str">
        <f t="shared" si="17"/>
        <v>esk</v>
      </c>
    </row>
    <row r="343" spans="1:14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31" t="str">
        <f t="shared" si="15"/>
        <v>Ani1342</v>
      </c>
      <c r="M343" s="31" t="str">
        <f t="shared" si="16"/>
        <v>Prier</v>
      </c>
      <c r="N343" s="31" t="str">
        <f t="shared" si="17"/>
        <v>rint</v>
      </c>
    </row>
    <row r="344" spans="1:14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31" t="str">
        <f t="shared" si="15"/>
        <v>Ani1343</v>
      </c>
      <c r="M344" s="31" t="str">
        <f t="shared" si="16"/>
        <v>Keyrd</v>
      </c>
      <c r="N344" s="31" t="str">
        <f t="shared" si="17"/>
        <v>eybo</v>
      </c>
    </row>
    <row r="345" spans="1:14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31" t="str">
        <f t="shared" si="15"/>
        <v>Neh1344</v>
      </c>
      <c r="M345" s="31" t="str">
        <f t="shared" si="16"/>
        <v>Diary</v>
      </c>
      <c r="N345" s="31" t="str">
        <f t="shared" si="17"/>
        <v>iary</v>
      </c>
    </row>
    <row r="346" spans="1:14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31" t="str">
        <f t="shared" si="15"/>
        <v>Ash1345</v>
      </c>
      <c r="M346" s="31" t="str">
        <f t="shared" si="16"/>
        <v>Monor</v>
      </c>
      <c r="N346" s="31" t="str">
        <f t="shared" si="17"/>
        <v>onit</v>
      </c>
    </row>
    <row r="347" spans="1:14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31" t="str">
        <f t="shared" si="15"/>
        <v>Ash1346</v>
      </c>
      <c r="M347" s="31" t="str">
        <f t="shared" si="16"/>
        <v>Dessk</v>
      </c>
      <c r="N347" s="31" t="str">
        <f t="shared" si="17"/>
        <v>esk</v>
      </c>
    </row>
    <row r="348" spans="1:14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31" t="str">
        <f t="shared" si="15"/>
        <v>Pri1347</v>
      </c>
      <c r="M348" s="31" t="str">
        <f t="shared" si="16"/>
        <v>Prier</v>
      </c>
      <c r="N348" s="31" t="str">
        <f t="shared" si="17"/>
        <v>rint</v>
      </c>
    </row>
    <row r="349" spans="1:14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31" t="str">
        <f t="shared" si="15"/>
        <v>Rit1348</v>
      </c>
      <c r="M349" s="31" t="str">
        <f t="shared" si="16"/>
        <v>Marer</v>
      </c>
      <c r="N349" s="31" t="str">
        <f t="shared" si="17"/>
        <v>arke</v>
      </c>
    </row>
    <row r="350" spans="1:14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31" t="str">
        <f t="shared" si="15"/>
        <v>Dee1349</v>
      </c>
      <c r="M350" s="31" t="str">
        <f t="shared" si="16"/>
        <v>Prier</v>
      </c>
      <c r="N350" s="31" t="str">
        <f t="shared" si="17"/>
        <v>rint</v>
      </c>
    </row>
    <row r="351" spans="1:14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31" t="str">
        <f t="shared" si="15"/>
        <v>Vik1350</v>
      </c>
      <c r="M351" s="31" t="str">
        <f t="shared" si="16"/>
        <v>Chair</v>
      </c>
      <c r="N351" s="31" t="str">
        <f t="shared" si="17"/>
        <v>hair</v>
      </c>
    </row>
    <row r="352" spans="1:14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31" t="str">
        <f t="shared" si="15"/>
        <v>Nis1351</v>
      </c>
      <c r="M352" s="31" t="str">
        <f t="shared" si="16"/>
        <v>Monor</v>
      </c>
      <c r="N352" s="31" t="str">
        <f t="shared" si="17"/>
        <v>onit</v>
      </c>
    </row>
    <row r="353" spans="1:14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31" t="str">
        <f t="shared" si="15"/>
        <v>Man1352</v>
      </c>
      <c r="M353" s="31" t="str">
        <f t="shared" si="16"/>
        <v>Notok</v>
      </c>
      <c r="N353" s="31" t="str">
        <f t="shared" si="17"/>
        <v>oteb</v>
      </c>
    </row>
    <row r="354" spans="1:14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31" t="str">
        <f t="shared" si="15"/>
        <v>Yas1353</v>
      </c>
      <c r="M354" s="31" t="str">
        <f t="shared" si="16"/>
        <v>Notok</v>
      </c>
      <c r="N354" s="31" t="str">
        <f t="shared" si="17"/>
        <v>oteb</v>
      </c>
    </row>
    <row r="355" spans="1:14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31" t="str">
        <f t="shared" si="15"/>
        <v>Yas1354</v>
      </c>
      <c r="M355" s="31" t="str">
        <f t="shared" si="16"/>
        <v>Prier</v>
      </c>
      <c r="N355" s="31" t="str">
        <f t="shared" si="17"/>
        <v>rint</v>
      </c>
    </row>
    <row r="356" spans="1:14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31" t="str">
        <f t="shared" si="15"/>
        <v>Arj1355</v>
      </c>
      <c r="M356" s="31" t="str">
        <f t="shared" si="16"/>
        <v>Lapop</v>
      </c>
      <c r="N356" s="31" t="str">
        <f t="shared" si="17"/>
        <v>apto</v>
      </c>
    </row>
    <row r="357" spans="1:14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31" t="str">
        <f t="shared" si="15"/>
        <v>Vik1356</v>
      </c>
      <c r="M357" s="31" t="str">
        <f t="shared" si="16"/>
        <v>Lapop</v>
      </c>
      <c r="N357" s="31" t="str">
        <f t="shared" si="17"/>
        <v>apto</v>
      </c>
    </row>
    <row r="358" spans="1:14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31" t="str">
        <f t="shared" si="15"/>
        <v>Ani1357</v>
      </c>
      <c r="M358" s="31" t="str">
        <f t="shared" si="16"/>
        <v>Penck</v>
      </c>
      <c r="N358" s="31" t="str">
        <f t="shared" si="17"/>
        <v>en P</v>
      </c>
    </row>
    <row r="359" spans="1:14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31" t="str">
        <f t="shared" si="15"/>
        <v>Dee1358</v>
      </c>
      <c r="M359" s="31" t="str">
        <f t="shared" si="16"/>
        <v>Dessk</v>
      </c>
      <c r="N359" s="31" t="str">
        <f t="shared" si="17"/>
        <v>esk</v>
      </c>
    </row>
    <row r="360" spans="1:14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31" t="str">
        <f t="shared" si="15"/>
        <v>Man1359</v>
      </c>
      <c r="M360" s="31" t="str">
        <f t="shared" si="16"/>
        <v>Mouse</v>
      </c>
      <c r="N360" s="31" t="str">
        <f t="shared" si="17"/>
        <v>ouse</v>
      </c>
    </row>
    <row r="361" spans="1:14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31" t="str">
        <f t="shared" si="15"/>
        <v>Rit1360</v>
      </c>
      <c r="M361" s="31" t="str">
        <f t="shared" si="16"/>
        <v>Table</v>
      </c>
      <c r="N361" s="31" t="str">
        <f t="shared" si="17"/>
        <v>able</v>
      </c>
    </row>
    <row r="362" spans="1:14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31" t="str">
        <f t="shared" si="15"/>
        <v>Nis1361</v>
      </c>
      <c r="M362" s="31" t="str">
        <f t="shared" si="16"/>
        <v>Table</v>
      </c>
      <c r="N362" s="31" t="str">
        <f t="shared" si="17"/>
        <v>able</v>
      </c>
    </row>
    <row r="363" spans="1:14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31" t="str">
        <f t="shared" si="15"/>
        <v>Poo1362</v>
      </c>
      <c r="M363" s="31" t="str">
        <f t="shared" si="16"/>
        <v>Chair</v>
      </c>
      <c r="N363" s="31" t="str">
        <f t="shared" si="17"/>
        <v>hair</v>
      </c>
    </row>
    <row r="364" spans="1:14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31" t="str">
        <f t="shared" si="15"/>
        <v>Arj1363</v>
      </c>
      <c r="M364" s="31" t="str">
        <f t="shared" si="16"/>
        <v>Prier</v>
      </c>
      <c r="N364" s="31" t="str">
        <f t="shared" si="17"/>
        <v>rint</v>
      </c>
    </row>
    <row r="365" spans="1:14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31" t="str">
        <f t="shared" si="15"/>
        <v>Neh1364</v>
      </c>
      <c r="M365" s="31" t="str">
        <f t="shared" si="16"/>
        <v>Cabet</v>
      </c>
      <c r="N365" s="31" t="str">
        <f t="shared" si="17"/>
        <v>abin</v>
      </c>
    </row>
    <row r="366" spans="1:14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31" t="str">
        <f t="shared" si="15"/>
        <v>Kir1365</v>
      </c>
      <c r="M366" s="31" t="str">
        <f t="shared" si="16"/>
        <v>Marer</v>
      </c>
      <c r="N366" s="31" t="str">
        <f t="shared" si="17"/>
        <v>arke</v>
      </c>
    </row>
    <row r="367" spans="1:14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31" t="str">
        <f t="shared" si="15"/>
        <v>Vik1366</v>
      </c>
      <c r="M367" s="31" t="str">
        <f t="shared" si="16"/>
        <v>Mouse</v>
      </c>
      <c r="N367" s="31" t="str">
        <f t="shared" si="17"/>
        <v>ouse</v>
      </c>
    </row>
    <row r="368" spans="1:14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31" t="str">
        <f t="shared" si="15"/>
        <v>Man1367</v>
      </c>
      <c r="M368" s="31" t="str">
        <f t="shared" si="16"/>
        <v>Diary</v>
      </c>
      <c r="N368" s="31" t="str">
        <f t="shared" si="17"/>
        <v>iary</v>
      </c>
    </row>
    <row r="369" spans="1:14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31" t="str">
        <f t="shared" si="15"/>
        <v>Sne1368</v>
      </c>
      <c r="M369" s="31" t="str">
        <f t="shared" si="16"/>
        <v>Staer</v>
      </c>
      <c r="N369" s="31" t="str">
        <f t="shared" si="17"/>
        <v>tapl</v>
      </c>
    </row>
    <row r="370" spans="1:14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31" t="str">
        <f t="shared" si="15"/>
        <v>Sar1369</v>
      </c>
      <c r="M370" s="31" t="str">
        <f t="shared" si="16"/>
        <v>Dessk</v>
      </c>
      <c r="N370" s="31" t="str">
        <f t="shared" si="17"/>
        <v>esk</v>
      </c>
    </row>
    <row r="371" spans="1:14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31" t="str">
        <f t="shared" si="15"/>
        <v>Ani1370</v>
      </c>
      <c r="M371" s="31" t="str">
        <f t="shared" si="16"/>
        <v>Diary</v>
      </c>
      <c r="N371" s="31" t="str">
        <f t="shared" si="17"/>
        <v>iary</v>
      </c>
    </row>
    <row r="372" spans="1:14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31" t="str">
        <f t="shared" si="15"/>
        <v>Nit1371</v>
      </c>
      <c r="M372" s="31" t="str">
        <f t="shared" si="16"/>
        <v>Dessk</v>
      </c>
      <c r="N372" s="31" t="str">
        <f t="shared" si="17"/>
        <v>esk</v>
      </c>
    </row>
    <row r="373" spans="1:14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31" t="str">
        <f t="shared" si="15"/>
        <v>Nit1372</v>
      </c>
      <c r="M373" s="31" t="str">
        <f t="shared" si="16"/>
        <v>Keyrd</v>
      </c>
      <c r="N373" s="31" t="str">
        <f t="shared" si="17"/>
        <v>eybo</v>
      </c>
    </row>
    <row r="374" spans="1:14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31" t="str">
        <f t="shared" si="15"/>
        <v>Man1373</v>
      </c>
      <c r="M374" s="31" t="str">
        <f t="shared" si="16"/>
        <v>Lapop</v>
      </c>
      <c r="N374" s="31" t="str">
        <f t="shared" si="17"/>
        <v>apto</v>
      </c>
    </row>
    <row r="375" spans="1:14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31" t="str">
        <f t="shared" si="15"/>
        <v>Sar1374</v>
      </c>
      <c r="M375" s="31" t="str">
        <f t="shared" si="16"/>
        <v>Prier</v>
      </c>
      <c r="N375" s="31" t="str">
        <f t="shared" si="17"/>
        <v>rint</v>
      </c>
    </row>
    <row r="376" spans="1:14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31" t="str">
        <f t="shared" si="15"/>
        <v>Kir1375</v>
      </c>
      <c r="M376" s="31" t="str">
        <f t="shared" si="16"/>
        <v>Monor</v>
      </c>
      <c r="N376" s="31" t="str">
        <f t="shared" si="17"/>
        <v>onit</v>
      </c>
    </row>
    <row r="377" spans="1:14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31" t="str">
        <f t="shared" si="15"/>
        <v>Kom1376</v>
      </c>
      <c r="M377" s="31" t="str">
        <f t="shared" si="16"/>
        <v>Marer</v>
      </c>
      <c r="N377" s="31" t="str">
        <f t="shared" si="17"/>
        <v>arke</v>
      </c>
    </row>
    <row r="378" spans="1:14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31" t="str">
        <f t="shared" si="15"/>
        <v>Ash1377</v>
      </c>
      <c r="M378" s="31" t="str">
        <f t="shared" si="16"/>
        <v>Dessk</v>
      </c>
      <c r="N378" s="31" t="str">
        <f t="shared" si="17"/>
        <v>esk</v>
      </c>
    </row>
    <row r="379" spans="1:14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31" t="str">
        <f t="shared" si="15"/>
        <v>Sne1378</v>
      </c>
      <c r="M379" s="31" t="str">
        <f t="shared" si="16"/>
        <v>Monor</v>
      </c>
      <c r="N379" s="31" t="str">
        <f t="shared" si="17"/>
        <v>onit</v>
      </c>
    </row>
    <row r="380" spans="1:14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31" t="str">
        <f t="shared" si="15"/>
        <v>Yas1379</v>
      </c>
      <c r="M380" s="31" t="str">
        <f t="shared" si="16"/>
        <v>Notok</v>
      </c>
      <c r="N380" s="31" t="str">
        <f t="shared" si="17"/>
        <v>oteb</v>
      </c>
    </row>
    <row r="381" spans="1:14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31" t="str">
        <f t="shared" si="15"/>
        <v>Kom1380</v>
      </c>
      <c r="M381" s="31" t="str">
        <f t="shared" si="16"/>
        <v>Diary</v>
      </c>
      <c r="N381" s="31" t="str">
        <f t="shared" si="17"/>
        <v>iary</v>
      </c>
    </row>
    <row r="382" spans="1:14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31" t="str">
        <f t="shared" si="15"/>
        <v>Sne1381</v>
      </c>
      <c r="M382" s="31" t="str">
        <f t="shared" si="16"/>
        <v>Chair</v>
      </c>
      <c r="N382" s="31" t="str">
        <f t="shared" si="17"/>
        <v>hair</v>
      </c>
    </row>
    <row r="383" spans="1:14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31" t="str">
        <f t="shared" si="15"/>
        <v>Aja1382</v>
      </c>
      <c r="M383" s="31" t="str">
        <f t="shared" si="16"/>
        <v>Lapop</v>
      </c>
      <c r="N383" s="31" t="str">
        <f t="shared" si="17"/>
        <v>apto</v>
      </c>
    </row>
    <row r="384" spans="1:14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31" t="str">
        <f t="shared" si="15"/>
        <v>Ash1383</v>
      </c>
      <c r="M384" s="31" t="str">
        <f t="shared" si="16"/>
        <v>Diary</v>
      </c>
      <c r="N384" s="31" t="str">
        <f t="shared" si="17"/>
        <v>iary</v>
      </c>
    </row>
    <row r="385" spans="1:14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31" t="str">
        <f t="shared" si="15"/>
        <v>Ani1384</v>
      </c>
      <c r="M385" s="31" t="str">
        <f t="shared" si="16"/>
        <v>Keyrd</v>
      </c>
      <c r="N385" s="31" t="str">
        <f t="shared" si="17"/>
        <v>eybo</v>
      </c>
    </row>
    <row r="386" spans="1:14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31" t="str">
        <f t="shared" si="15"/>
        <v>Vik1385</v>
      </c>
      <c r="M386" s="31" t="str">
        <f t="shared" si="16"/>
        <v>Keyrd</v>
      </c>
      <c r="N386" s="31" t="str">
        <f t="shared" si="17"/>
        <v>eybo</v>
      </c>
    </row>
    <row r="387" spans="1:14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31" t="str">
        <f t="shared" ref="L387:L401" si="18">LEFT(B387,3)&amp;A387</f>
        <v>Arj1386</v>
      </c>
      <c r="M387" s="31" t="str">
        <f t="shared" ref="L387:M403" si="19">LEFT(E387,3)&amp;RIGHT(E387,2)</f>
        <v>Chair</v>
      </c>
      <c r="N387" s="31" t="str">
        <f t="shared" ref="N387:N401" si="20">MID(E387,2,4)</f>
        <v>hair</v>
      </c>
    </row>
    <row r="388" spans="1:14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31" t="str">
        <f t="shared" si="18"/>
        <v>Man1387</v>
      </c>
      <c r="M388" s="31" t="str">
        <f t="shared" si="19"/>
        <v>Prier</v>
      </c>
      <c r="N388" s="31" t="str">
        <f t="shared" si="20"/>
        <v>rint</v>
      </c>
    </row>
    <row r="389" spans="1:14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31" t="str">
        <f t="shared" si="18"/>
        <v>Sne1388</v>
      </c>
      <c r="M389" s="31" t="str">
        <f t="shared" si="19"/>
        <v>Chair</v>
      </c>
      <c r="N389" s="31" t="str">
        <f t="shared" si="20"/>
        <v>hair</v>
      </c>
    </row>
    <row r="390" spans="1:14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31" t="str">
        <f t="shared" si="18"/>
        <v>Ash1389</v>
      </c>
      <c r="M390" s="31" t="str">
        <f t="shared" si="19"/>
        <v>Heaet</v>
      </c>
      <c r="N390" s="31" t="str">
        <f t="shared" si="20"/>
        <v>eads</v>
      </c>
    </row>
    <row r="391" spans="1:14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31" t="str">
        <f t="shared" si="18"/>
        <v>Roh1390</v>
      </c>
      <c r="M391" s="31" t="str">
        <f t="shared" si="19"/>
        <v>Dessk</v>
      </c>
      <c r="N391" s="31" t="str">
        <f t="shared" si="20"/>
        <v>esk</v>
      </c>
    </row>
    <row r="392" spans="1:14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31" t="str">
        <f t="shared" si="18"/>
        <v>Neh1391</v>
      </c>
      <c r="M392" s="31" t="str">
        <f t="shared" si="19"/>
        <v>Prier</v>
      </c>
      <c r="N392" s="31" t="str">
        <f t="shared" si="20"/>
        <v>rint</v>
      </c>
    </row>
    <row r="393" spans="1:14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31" t="str">
        <f t="shared" si="18"/>
        <v>Pri1392</v>
      </c>
      <c r="M393" s="31" t="str">
        <f t="shared" si="19"/>
        <v>Prier</v>
      </c>
      <c r="N393" s="31" t="str">
        <f t="shared" si="20"/>
        <v>rint</v>
      </c>
    </row>
    <row r="394" spans="1:14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31" t="str">
        <f t="shared" si="18"/>
        <v>Neh1393</v>
      </c>
      <c r="M394" s="31" t="str">
        <f t="shared" si="19"/>
        <v>Monor</v>
      </c>
      <c r="N394" s="31" t="str">
        <f t="shared" si="20"/>
        <v>onit</v>
      </c>
    </row>
    <row r="395" spans="1:14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31" t="str">
        <f t="shared" si="18"/>
        <v>Man1394</v>
      </c>
      <c r="M395" s="31" t="str">
        <f t="shared" si="19"/>
        <v>Notok</v>
      </c>
      <c r="N395" s="31" t="str">
        <f t="shared" si="20"/>
        <v>oteb</v>
      </c>
    </row>
    <row r="396" spans="1:14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31" t="str">
        <f t="shared" si="18"/>
        <v>Man1395</v>
      </c>
      <c r="M396" s="31" t="str">
        <f t="shared" si="19"/>
        <v>Boolf</v>
      </c>
      <c r="N396" s="31" t="str">
        <f t="shared" si="20"/>
        <v>ooks</v>
      </c>
    </row>
    <row r="397" spans="1:14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31" t="str">
        <f t="shared" si="18"/>
        <v>Mee1396</v>
      </c>
      <c r="M397" s="31" t="str">
        <f t="shared" si="19"/>
        <v>Diary</v>
      </c>
      <c r="N397" s="31" t="str">
        <f t="shared" si="20"/>
        <v>iary</v>
      </c>
    </row>
    <row r="398" spans="1:14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31" t="str">
        <f t="shared" si="18"/>
        <v>Mee1397</v>
      </c>
      <c r="M398" s="31" t="str">
        <f t="shared" si="19"/>
        <v>Table</v>
      </c>
      <c r="N398" s="31" t="str">
        <f t="shared" si="20"/>
        <v>able</v>
      </c>
    </row>
    <row r="399" spans="1:14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31" t="str">
        <f t="shared" si="18"/>
        <v>Roh1398</v>
      </c>
      <c r="M399" s="31" t="str">
        <f t="shared" si="19"/>
        <v>Keyrd</v>
      </c>
      <c r="N399" s="31" t="str">
        <f t="shared" si="20"/>
        <v>eybo</v>
      </c>
    </row>
    <row r="400" spans="1:14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31" t="str">
        <f t="shared" si="18"/>
        <v>Nit1399</v>
      </c>
      <c r="M400" s="31" t="str">
        <f t="shared" si="19"/>
        <v>Notok</v>
      </c>
      <c r="N400" s="31" t="str">
        <f t="shared" si="20"/>
        <v>oteb</v>
      </c>
    </row>
    <row r="401" spans="1:14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31" t="str">
        <f t="shared" si="18"/>
        <v>Dee1400</v>
      </c>
      <c r="M401" s="31" t="str">
        <f t="shared" si="19"/>
        <v>Prier</v>
      </c>
      <c r="N401" s="31" t="str">
        <f t="shared" si="20"/>
        <v>rint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3157-37D2-4235-9B36-C5E42C082862}">
  <dimension ref="A1:N401"/>
  <sheetViews>
    <sheetView workbookViewId="0">
      <selection activeCell="Q19" sqref="Q19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9.21875" bestFit="1" customWidth="1"/>
    <col min="13" max="13" width="17.21875" bestFit="1" customWidth="1"/>
    <col min="14" max="14" width="18.44140625" bestFit="1" customWidth="1"/>
  </cols>
  <sheetData>
    <row r="1" spans="1:14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76</v>
      </c>
      <c r="M1" s="13" t="s">
        <v>77</v>
      </c>
      <c r="N1" s="13" t="s">
        <v>78</v>
      </c>
    </row>
    <row r="2" spans="1:14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33" t="str">
        <f>UPPER(B2)</f>
        <v>RITESH</v>
      </c>
      <c r="M2" s="33" t="str">
        <f>LOWER(E2)</f>
        <v>notebook</v>
      </c>
      <c r="N2" s="33">
        <f>LEN(E2)</f>
        <v>8</v>
      </c>
    </row>
    <row r="3" spans="1:14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33" t="str">
        <f t="shared" ref="L3:L66" si="0">UPPER(B3)</f>
        <v>POOJA</v>
      </c>
      <c r="M3" s="33" t="str">
        <f t="shared" ref="M3:M66" si="1">LOWER(E3)</f>
        <v>desk</v>
      </c>
      <c r="N3" s="33">
        <f t="shared" ref="N3:N66" si="2">LEN(E3)</f>
        <v>4</v>
      </c>
    </row>
    <row r="4" spans="1:14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33" t="str">
        <f t="shared" si="0"/>
        <v>MEERA</v>
      </c>
      <c r="M4" s="33" t="str">
        <f t="shared" si="1"/>
        <v>table</v>
      </c>
      <c r="N4" s="33">
        <f t="shared" si="2"/>
        <v>5</v>
      </c>
    </row>
    <row r="5" spans="1:14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33" t="str">
        <f t="shared" si="0"/>
        <v>POOJA</v>
      </c>
      <c r="M5" s="33" t="str">
        <f t="shared" si="1"/>
        <v>table</v>
      </c>
      <c r="N5" s="33">
        <f t="shared" si="2"/>
        <v>5</v>
      </c>
    </row>
    <row r="6" spans="1:14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33" t="str">
        <f t="shared" si="0"/>
        <v>VIKRAM</v>
      </c>
      <c r="M6" s="33" t="str">
        <f t="shared" si="1"/>
        <v>notebook</v>
      </c>
      <c r="N6" s="33">
        <f t="shared" si="2"/>
        <v>8</v>
      </c>
    </row>
    <row r="7" spans="1:14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33" t="str">
        <f t="shared" si="0"/>
        <v>ARJUN</v>
      </c>
      <c r="M7" s="33" t="str">
        <f t="shared" si="1"/>
        <v>chair</v>
      </c>
      <c r="N7" s="33">
        <f t="shared" si="2"/>
        <v>5</v>
      </c>
    </row>
    <row r="8" spans="1:14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33" t="str">
        <f t="shared" si="0"/>
        <v>MEERA</v>
      </c>
      <c r="M8" s="33" t="str">
        <f t="shared" si="1"/>
        <v>notebook</v>
      </c>
      <c r="N8" s="33">
        <f t="shared" si="2"/>
        <v>8</v>
      </c>
    </row>
    <row r="9" spans="1:14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33" t="str">
        <f t="shared" si="0"/>
        <v>NEHA</v>
      </c>
      <c r="M9" s="33" t="str">
        <f t="shared" si="1"/>
        <v>chair</v>
      </c>
      <c r="N9" s="33">
        <f t="shared" si="2"/>
        <v>5</v>
      </c>
    </row>
    <row r="10" spans="1:14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33" t="str">
        <f t="shared" si="0"/>
        <v>ASHA</v>
      </c>
      <c r="M10" s="33" t="str">
        <f t="shared" si="1"/>
        <v>printer</v>
      </c>
      <c r="N10" s="33">
        <f t="shared" si="2"/>
        <v>7</v>
      </c>
    </row>
    <row r="11" spans="1:14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33" t="str">
        <f t="shared" si="0"/>
        <v>RITESH</v>
      </c>
      <c r="M11" s="33" t="str">
        <f t="shared" si="1"/>
        <v>stapler</v>
      </c>
      <c r="N11" s="33">
        <f t="shared" si="2"/>
        <v>7</v>
      </c>
    </row>
    <row r="12" spans="1:14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33" t="str">
        <f t="shared" si="0"/>
        <v>RITESH</v>
      </c>
      <c r="M12" s="33" t="str">
        <f t="shared" si="1"/>
        <v>pen pack</v>
      </c>
      <c r="N12" s="33">
        <f t="shared" si="2"/>
        <v>8</v>
      </c>
    </row>
    <row r="13" spans="1:14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33" t="str">
        <f t="shared" si="0"/>
        <v>VIKRAM</v>
      </c>
      <c r="M13" s="33" t="str">
        <f t="shared" si="1"/>
        <v>keyboard</v>
      </c>
      <c r="N13" s="33">
        <f t="shared" si="2"/>
        <v>8</v>
      </c>
    </row>
    <row r="14" spans="1:14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33" t="str">
        <f t="shared" si="0"/>
        <v>POOJA</v>
      </c>
      <c r="M14" s="33" t="str">
        <f t="shared" si="1"/>
        <v>stapler</v>
      </c>
      <c r="N14" s="33">
        <f t="shared" si="2"/>
        <v>7</v>
      </c>
    </row>
    <row r="15" spans="1:14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33" t="str">
        <f t="shared" si="0"/>
        <v>DEEPAK</v>
      </c>
      <c r="M15" s="33" t="str">
        <f t="shared" si="1"/>
        <v>headset</v>
      </c>
      <c r="N15" s="33">
        <f t="shared" si="2"/>
        <v>7</v>
      </c>
    </row>
    <row r="16" spans="1:14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33" t="str">
        <f t="shared" si="0"/>
        <v>NISHA</v>
      </c>
      <c r="M16" s="33" t="str">
        <f t="shared" si="1"/>
        <v>bookshelf</v>
      </c>
      <c r="N16" s="33">
        <f t="shared" si="2"/>
        <v>9</v>
      </c>
    </row>
    <row r="17" spans="1:14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33" t="str">
        <f t="shared" si="0"/>
        <v>ASHA</v>
      </c>
      <c r="M17" s="33" t="str">
        <f t="shared" si="1"/>
        <v>monitor</v>
      </c>
      <c r="N17" s="33">
        <f t="shared" si="2"/>
        <v>7</v>
      </c>
    </row>
    <row r="18" spans="1:14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33" t="str">
        <f t="shared" si="0"/>
        <v>KIRAN</v>
      </c>
      <c r="M18" s="33" t="str">
        <f t="shared" si="1"/>
        <v>stapler</v>
      </c>
      <c r="N18" s="33">
        <f t="shared" si="2"/>
        <v>7</v>
      </c>
    </row>
    <row r="19" spans="1:14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33" t="str">
        <f t="shared" si="0"/>
        <v>YASH</v>
      </c>
      <c r="M19" s="33" t="str">
        <f t="shared" si="1"/>
        <v>notebook</v>
      </c>
      <c r="N19" s="33">
        <f t="shared" si="2"/>
        <v>8</v>
      </c>
    </row>
    <row r="20" spans="1:14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33" t="str">
        <f t="shared" si="0"/>
        <v>RITESH</v>
      </c>
      <c r="M20" s="33" t="str">
        <f t="shared" si="1"/>
        <v>headset</v>
      </c>
      <c r="N20" s="33">
        <f t="shared" si="2"/>
        <v>7</v>
      </c>
    </row>
    <row r="21" spans="1:14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33" t="str">
        <f t="shared" si="0"/>
        <v>KIRAN</v>
      </c>
      <c r="M21" s="33" t="str">
        <f t="shared" si="1"/>
        <v>desk</v>
      </c>
      <c r="N21" s="33">
        <f t="shared" si="2"/>
        <v>4</v>
      </c>
    </row>
    <row r="22" spans="1:14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33" t="str">
        <f t="shared" si="0"/>
        <v>NITIN</v>
      </c>
      <c r="M22" s="33" t="str">
        <f t="shared" si="1"/>
        <v>notebook</v>
      </c>
      <c r="N22" s="33">
        <f t="shared" si="2"/>
        <v>8</v>
      </c>
    </row>
    <row r="23" spans="1:14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33" t="str">
        <f t="shared" si="0"/>
        <v>VIKRAM</v>
      </c>
      <c r="M23" s="33" t="str">
        <f t="shared" si="1"/>
        <v>monitor</v>
      </c>
      <c r="N23" s="33">
        <f t="shared" si="2"/>
        <v>7</v>
      </c>
    </row>
    <row r="24" spans="1:14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33" t="str">
        <f t="shared" si="0"/>
        <v>DEEPAK</v>
      </c>
      <c r="M24" s="33" t="str">
        <f t="shared" si="1"/>
        <v>bookshelf</v>
      </c>
      <c r="N24" s="33">
        <f t="shared" si="2"/>
        <v>9</v>
      </c>
    </row>
    <row r="25" spans="1:14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33" t="str">
        <f t="shared" si="0"/>
        <v>ASHA</v>
      </c>
      <c r="M25" s="33" t="str">
        <f t="shared" si="1"/>
        <v>headset</v>
      </c>
      <c r="N25" s="33">
        <f t="shared" si="2"/>
        <v>7</v>
      </c>
    </row>
    <row r="26" spans="1:14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33" t="str">
        <f t="shared" si="0"/>
        <v>MEERA</v>
      </c>
      <c r="M26" s="33" t="str">
        <f t="shared" si="1"/>
        <v>desk</v>
      </c>
      <c r="N26" s="33">
        <f t="shared" si="2"/>
        <v>4</v>
      </c>
    </row>
    <row r="27" spans="1:14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33" t="str">
        <f t="shared" si="0"/>
        <v>AJAY</v>
      </c>
      <c r="M27" s="33" t="str">
        <f t="shared" si="1"/>
        <v>marker</v>
      </c>
      <c r="N27" s="33">
        <f t="shared" si="2"/>
        <v>6</v>
      </c>
    </row>
    <row r="28" spans="1:14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33" t="str">
        <f t="shared" si="0"/>
        <v>PRIYA</v>
      </c>
      <c r="M28" s="33" t="str">
        <f t="shared" si="1"/>
        <v>marker</v>
      </c>
      <c r="N28" s="33">
        <f t="shared" si="2"/>
        <v>6</v>
      </c>
    </row>
    <row r="29" spans="1:14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33" t="str">
        <f t="shared" si="0"/>
        <v>YASH</v>
      </c>
      <c r="M29" s="33" t="str">
        <f t="shared" si="1"/>
        <v>stapler</v>
      </c>
      <c r="N29" s="33">
        <f t="shared" si="2"/>
        <v>7</v>
      </c>
    </row>
    <row r="30" spans="1:14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33" t="str">
        <f t="shared" si="0"/>
        <v>NEHA</v>
      </c>
      <c r="M30" s="33" t="str">
        <f t="shared" si="1"/>
        <v>stapler</v>
      </c>
      <c r="N30" s="33">
        <f t="shared" si="2"/>
        <v>7</v>
      </c>
    </row>
    <row r="31" spans="1:14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33" t="str">
        <f t="shared" si="0"/>
        <v>KOMAL</v>
      </c>
      <c r="M31" s="33" t="str">
        <f t="shared" si="1"/>
        <v>diary</v>
      </c>
      <c r="N31" s="33">
        <f t="shared" si="2"/>
        <v>5</v>
      </c>
    </row>
    <row r="32" spans="1:14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33" t="str">
        <f t="shared" si="0"/>
        <v>MANOJ</v>
      </c>
      <c r="M32" s="33" t="str">
        <f t="shared" si="1"/>
        <v>diary</v>
      </c>
      <c r="N32" s="33">
        <f t="shared" si="2"/>
        <v>5</v>
      </c>
    </row>
    <row r="33" spans="1:14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33" t="str">
        <f t="shared" si="0"/>
        <v>MANOJ</v>
      </c>
      <c r="M33" s="33" t="str">
        <f t="shared" si="1"/>
        <v>keyboard</v>
      </c>
      <c r="N33" s="33">
        <f t="shared" si="2"/>
        <v>8</v>
      </c>
    </row>
    <row r="34" spans="1:14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33" t="str">
        <f t="shared" si="0"/>
        <v>RITESH</v>
      </c>
      <c r="M34" s="33" t="str">
        <f t="shared" si="1"/>
        <v>desk</v>
      </c>
      <c r="N34" s="33">
        <f t="shared" si="2"/>
        <v>4</v>
      </c>
    </row>
    <row r="35" spans="1:14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33" t="str">
        <f t="shared" si="0"/>
        <v>SNEHA</v>
      </c>
      <c r="M35" s="33" t="str">
        <f t="shared" si="1"/>
        <v>chair</v>
      </c>
      <c r="N35" s="33">
        <f t="shared" si="2"/>
        <v>5</v>
      </c>
    </row>
    <row r="36" spans="1:14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33" t="str">
        <f t="shared" si="0"/>
        <v>AJAY</v>
      </c>
      <c r="M36" s="33" t="str">
        <f t="shared" si="1"/>
        <v>cabinet</v>
      </c>
      <c r="N36" s="33">
        <f t="shared" si="2"/>
        <v>7</v>
      </c>
    </row>
    <row r="37" spans="1:14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33" t="str">
        <f t="shared" si="0"/>
        <v>RITESH</v>
      </c>
      <c r="M37" s="33" t="str">
        <f t="shared" si="1"/>
        <v>stapler</v>
      </c>
      <c r="N37" s="33">
        <f t="shared" si="2"/>
        <v>7</v>
      </c>
    </row>
    <row r="38" spans="1:14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33" t="str">
        <f t="shared" si="0"/>
        <v>KIRAN</v>
      </c>
      <c r="M38" s="33" t="str">
        <f t="shared" si="1"/>
        <v>cabinet</v>
      </c>
      <c r="N38" s="33">
        <f t="shared" si="2"/>
        <v>7</v>
      </c>
    </row>
    <row r="39" spans="1:14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33" t="str">
        <f t="shared" si="0"/>
        <v>SNEHA</v>
      </c>
      <c r="M39" s="33" t="str">
        <f t="shared" si="1"/>
        <v>stapler</v>
      </c>
      <c r="N39" s="33">
        <f t="shared" si="2"/>
        <v>7</v>
      </c>
    </row>
    <row r="40" spans="1:14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33" t="str">
        <f t="shared" si="0"/>
        <v>NITIN</v>
      </c>
      <c r="M40" s="33" t="str">
        <f t="shared" si="1"/>
        <v>monitor</v>
      </c>
      <c r="N40" s="33">
        <f t="shared" si="2"/>
        <v>7</v>
      </c>
    </row>
    <row r="41" spans="1:14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33" t="str">
        <f t="shared" si="0"/>
        <v>AJAY</v>
      </c>
      <c r="M41" s="33" t="str">
        <f t="shared" si="1"/>
        <v>chair</v>
      </c>
      <c r="N41" s="33">
        <f t="shared" si="2"/>
        <v>5</v>
      </c>
    </row>
    <row r="42" spans="1:14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33" t="str">
        <f t="shared" si="0"/>
        <v>MANOJ</v>
      </c>
      <c r="M42" s="33" t="str">
        <f t="shared" si="1"/>
        <v>marker</v>
      </c>
      <c r="N42" s="33">
        <f t="shared" si="2"/>
        <v>6</v>
      </c>
    </row>
    <row r="43" spans="1:14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33" t="str">
        <f t="shared" si="0"/>
        <v>KIRAN</v>
      </c>
      <c r="M43" s="33" t="str">
        <f t="shared" si="1"/>
        <v>diary</v>
      </c>
      <c r="N43" s="33">
        <f t="shared" si="2"/>
        <v>5</v>
      </c>
    </row>
    <row r="44" spans="1:14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33" t="str">
        <f t="shared" si="0"/>
        <v>AJAY</v>
      </c>
      <c r="M44" s="33" t="str">
        <f t="shared" si="1"/>
        <v>printer</v>
      </c>
      <c r="N44" s="33">
        <f t="shared" si="2"/>
        <v>7</v>
      </c>
    </row>
    <row r="45" spans="1:14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33" t="str">
        <f t="shared" si="0"/>
        <v>NITIN</v>
      </c>
      <c r="M45" s="33" t="str">
        <f t="shared" si="1"/>
        <v>desk</v>
      </c>
      <c r="N45" s="33">
        <f t="shared" si="2"/>
        <v>4</v>
      </c>
    </row>
    <row r="46" spans="1:14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33" t="str">
        <f t="shared" si="0"/>
        <v>ASHA</v>
      </c>
      <c r="M46" s="33" t="str">
        <f t="shared" si="1"/>
        <v>printer</v>
      </c>
      <c r="N46" s="33">
        <f t="shared" si="2"/>
        <v>7</v>
      </c>
    </row>
    <row r="47" spans="1:14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33" t="str">
        <f t="shared" si="0"/>
        <v>SARA</v>
      </c>
      <c r="M47" s="33" t="str">
        <f t="shared" si="1"/>
        <v>monitor</v>
      </c>
      <c r="N47" s="33">
        <f t="shared" si="2"/>
        <v>7</v>
      </c>
    </row>
    <row r="48" spans="1:14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33" t="str">
        <f t="shared" si="0"/>
        <v>ROHAN</v>
      </c>
      <c r="M48" s="33" t="str">
        <f t="shared" si="1"/>
        <v>cabinet</v>
      </c>
      <c r="N48" s="33">
        <f t="shared" si="2"/>
        <v>7</v>
      </c>
    </row>
    <row r="49" spans="1:14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33" t="str">
        <f t="shared" si="0"/>
        <v>ANITA</v>
      </c>
      <c r="M49" s="33" t="str">
        <f t="shared" si="1"/>
        <v>laptop</v>
      </c>
      <c r="N49" s="33">
        <f t="shared" si="2"/>
        <v>6</v>
      </c>
    </row>
    <row r="50" spans="1:14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33" t="str">
        <f t="shared" si="0"/>
        <v>KOMAL</v>
      </c>
      <c r="M50" s="33" t="str">
        <f t="shared" si="1"/>
        <v>monitor</v>
      </c>
      <c r="N50" s="33">
        <f t="shared" si="2"/>
        <v>7</v>
      </c>
    </row>
    <row r="51" spans="1:14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33" t="str">
        <f t="shared" si="0"/>
        <v>ASHA</v>
      </c>
      <c r="M51" s="33" t="str">
        <f t="shared" si="1"/>
        <v>diary</v>
      </c>
      <c r="N51" s="33">
        <f t="shared" si="2"/>
        <v>5</v>
      </c>
    </row>
    <row r="52" spans="1:14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33" t="str">
        <f t="shared" si="0"/>
        <v>ROHAN</v>
      </c>
      <c r="M52" s="33" t="str">
        <f t="shared" si="1"/>
        <v>stapler</v>
      </c>
      <c r="N52" s="33">
        <f t="shared" si="2"/>
        <v>7</v>
      </c>
    </row>
    <row r="53" spans="1:14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33" t="str">
        <f t="shared" si="0"/>
        <v>SNEHA</v>
      </c>
      <c r="M53" s="33" t="str">
        <f t="shared" si="1"/>
        <v>notebook</v>
      </c>
      <c r="N53" s="33">
        <f t="shared" si="2"/>
        <v>8</v>
      </c>
    </row>
    <row r="54" spans="1:14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33" t="str">
        <f t="shared" si="0"/>
        <v>POOJA</v>
      </c>
      <c r="M54" s="33" t="str">
        <f t="shared" si="1"/>
        <v>chair</v>
      </c>
      <c r="N54" s="33">
        <f t="shared" si="2"/>
        <v>5</v>
      </c>
    </row>
    <row r="55" spans="1:14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33" t="str">
        <f t="shared" si="0"/>
        <v>VIKRAM</v>
      </c>
      <c r="M55" s="33" t="str">
        <f t="shared" si="1"/>
        <v>table</v>
      </c>
      <c r="N55" s="33">
        <f t="shared" si="2"/>
        <v>5</v>
      </c>
    </row>
    <row r="56" spans="1:14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33" t="str">
        <f t="shared" si="0"/>
        <v>NITIN</v>
      </c>
      <c r="M56" s="33" t="str">
        <f t="shared" si="1"/>
        <v>pen pack</v>
      </c>
      <c r="N56" s="33">
        <f t="shared" si="2"/>
        <v>8</v>
      </c>
    </row>
    <row r="57" spans="1:14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33" t="str">
        <f t="shared" si="0"/>
        <v>RITESH</v>
      </c>
      <c r="M57" s="33" t="str">
        <f t="shared" si="1"/>
        <v>desk</v>
      </c>
      <c r="N57" s="33">
        <f t="shared" si="2"/>
        <v>4</v>
      </c>
    </row>
    <row r="58" spans="1:14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33" t="str">
        <f t="shared" si="0"/>
        <v>ANITA</v>
      </c>
      <c r="M58" s="33" t="str">
        <f t="shared" si="1"/>
        <v>chair</v>
      </c>
      <c r="N58" s="33">
        <f t="shared" si="2"/>
        <v>5</v>
      </c>
    </row>
    <row r="59" spans="1:14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33" t="str">
        <f t="shared" si="0"/>
        <v>KOMAL</v>
      </c>
      <c r="M59" s="33" t="str">
        <f t="shared" si="1"/>
        <v>chair</v>
      </c>
      <c r="N59" s="33">
        <f t="shared" si="2"/>
        <v>5</v>
      </c>
    </row>
    <row r="60" spans="1:14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33" t="str">
        <f t="shared" si="0"/>
        <v>MANOJ</v>
      </c>
      <c r="M60" s="33" t="str">
        <f t="shared" si="1"/>
        <v>marker</v>
      </c>
      <c r="N60" s="33">
        <f t="shared" si="2"/>
        <v>6</v>
      </c>
    </row>
    <row r="61" spans="1:14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33" t="str">
        <f t="shared" si="0"/>
        <v>AJAY</v>
      </c>
      <c r="M61" s="33" t="str">
        <f t="shared" si="1"/>
        <v>bookshelf</v>
      </c>
      <c r="N61" s="33">
        <f t="shared" si="2"/>
        <v>9</v>
      </c>
    </row>
    <row r="62" spans="1:14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33" t="str">
        <f t="shared" si="0"/>
        <v>SARA</v>
      </c>
      <c r="M62" s="33" t="str">
        <f t="shared" si="1"/>
        <v>headset</v>
      </c>
      <c r="N62" s="33">
        <f t="shared" si="2"/>
        <v>7</v>
      </c>
    </row>
    <row r="63" spans="1:14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33" t="str">
        <f t="shared" si="0"/>
        <v>DEEPAK</v>
      </c>
      <c r="M63" s="33" t="str">
        <f t="shared" si="1"/>
        <v>table</v>
      </c>
      <c r="N63" s="33">
        <f t="shared" si="2"/>
        <v>5</v>
      </c>
    </row>
    <row r="64" spans="1:14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33" t="str">
        <f t="shared" si="0"/>
        <v>MANOJ</v>
      </c>
      <c r="M64" s="33" t="str">
        <f t="shared" si="1"/>
        <v>monitor</v>
      </c>
      <c r="N64" s="33">
        <f t="shared" si="2"/>
        <v>7</v>
      </c>
    </row>
    <row r="65" spans="1:14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33" t="str">
        <f t="shared" si="0"/>
        <v>VIKRAM</v>
      </c>
      <c r="M65" s="33" t="str">
        <f t="shared" si="1"/>
        <v>marker</v>
      </c>
      <c r="N65" s="33">
        <f t="shared" si="2"/>
        <v>6</v>
      </c>
    </row>
    <row r="66" spans="1:14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33" t="str">
        <f t="shared" si="0"/>
        <v>NISHA</v>
      </c>
      <c r="M66" s="33" t="str">
        <f t="shared" si="1"/>
        <v>bookshelf</v>
      </c>
      <c r="N66" s="33">
        <f t="shared" si="2"/>
        <v>9</v>
      </c>
    </row>
    <row r="67" spans="1:14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33" t="str">
        <f t="shared" ref="L67:L130" si="3">UPPER(B67)</f>
        <v>YASH</v>
      </c>
      <c r="M67" s="33" t="str">
        <f t="shared" ref="M67:M130" si="4">LOWER(E67)</f>
        <v>bookshelf</v>
      </c>
      <c r="N67" s="33">
        <f t="shared" ref="N67:N130" si="5">LEN(E67)</f>
        <v>9</v>
      </c>
    </row>
    <row r="68" spans="1:14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33" t="str">
        <f t="shared" si="3"/>
        <v>ASHA</v>
      </c>
      <c r="M68" s="33" t="str">
        <f t="shared" si="4"/>
        <v>cabinet</v>
      </c>
      <c r="N68" s="33">
        <f t="shared" si="5"/>
        <v>7</v>
      </c>
    </row>
    <row r="69" spans="1:14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33" t="str">
        <f t="shared" si="3"/>
        <v>KOMAL</v>
      </c>
      <c r="M69" s="33" t="str">
        <f t="shared" si="4"/>
        <v>laptop</v>
      </c>
      <c r="N69" s="33">
        <f t="shared" si="5"/>
        <v>6</v>
      </c>
    </row>
    <row r="70" spans="1:14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33" t="str">
        <f t="shared" si="3"/>
        <v>KOMAL</v>
      </c>
      <c r="M70" s="33" t="str">
        <f t="shared" si="4"/>
        <v>chair</v>
      </c>
      <c r="N70" s="33">
        <f t="shared" si="5"/>
        <v>5</v>
      </c>
    </row>
    <row r="71" spans="1:14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33" t="str">
        <f t="shared" si="3"/>
        <v>KOMAL</v>
      </c>
      <c r="M71" s="33" t="str">
        <f t="shared" si="4"/>
        <v>stapler</v>
      </c>
      <c r="N71" s="33">
        <f t="shared" si="5"/>
        <v>7</v>
      </c>
    </row>
    <row r="72" spans="1:14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33" t="str">
        <f t="shared" si="3"/>
        <v>ANITA</v>
      </c>
      <c r="M72" s="33" t="str">
        <f t="shared" si="4"/>
        <v>mouse</v>
      </c>
      <c r="N72" s="33">
        <f t="shared" si="5"/>
        <v>5</v>
      </c>
    </row>
    <row r="73" spans="1:14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33" t="str">
        <f t="shared" si="3"/>
        <v>POOJA</v>
      </c>
      <c r="M73" s="33" t="str">
        <f t="shared" si="4"/>
        <v>mouse</v>
      </c>
      <c r="N73" s="33">
        <f t="shared" si="5"/>
        <v>5</v>
      </c>
    </row>
    <row r="74" spans="1:14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33" t="str">
        <f t="shared" si="3"/>
        <v>ROHAN</v>
      </c>
      <c r="M74" s="33" t="str">
        <f t="shared" si="4"/>
        <v>cabinet</v>
      </c>
      <c r="N74" s="33">
        <f t="shared" si="5"/>
        <v>7</v>
      </c>
    </row>
    <row r="75" spans="1:14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33" t="str">
        <f t="shared" si="3"/>
        <v>VIKRAM</v>
      </c>
      <c r="M75" s="33" t="str">
        <f t="shared" si="4"/>
        <v>marker</v>
      </c>
      <c r="N75" s="33">
        <f t="shared" si="5"/>
        <v>6</v>
      </c>
    </row>
    <row r="76" spans="1:14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33" t="str">
        <f t="shared" si="3"/>
        <v>NISHA</v>
      </c>
      <c r="M76" s="33" t="str">
        <f t="shared" si="4"/>
        <v>mouse</v>
      </c>
      <c r="N76" s="33">
        <f t="shared" si="5"/>
        <v>5</v>
      </c>
    </row>
    <row r="77" spans="1:14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33" t="str">
        <f t="shared" si="3"/>
        <v>PRIYA</v>
      </c>
      <c r="M77" s="33" t="str">
        <f t="shared" si="4"/>
        <v>printer</v>
      </c>
      <c r="N77" s="33">
        <f t="shared" si="5"/>
        <v>7</v>
      </c>
    </row>
    <row r="78" spans="1:14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33" t="str">
        <f t="shared" si="3"/>
        <v>SNEHA</v>
      </c>
      <c r="M78" s="33" t="str">
        <f t="shared" si="4"/>
        <v>notebook</v>
      </c>
      <c r="N78" s="33">
        <f t="shared" si="5"/>
        <v>8</v>
      </c>
    </row>
    <row r="79" spans="1:14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33" t="str">
        <f t="shared" si="3"/>
        <v>KOMAL</v>
      </c>
      <c r="M79" s="33" t="str">
        <f t="shared" si="4"/>
        <v>keyboard</v>
      </c>
      <c r="N79" s="33">
        <f t="shared" si="5"/>
        <v>8</v>
      </c>
    </row>
    <row r="80" spans="1:14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33" t="str">
        <f t="shared" si="3"/>
        <v>VIKRAM</v>
      </c>
      <c r="M80" s="33" t="str">
        <f t="shared" si="4"/>
        <v>headset</v>
      </c>
      <c r="N80" s="33">
        <f t="shared" si="5"/>
        <v>7</v>
      </c>
    </row>
    <row r="81" spans="1:14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33" t="str">
        <f t="shared" si="3"/>
        <v>MEERA</v>
      </c>
      <c r="M81" s="33" t="str">
        <f t="shared" si="4"/>
        <v>headset</v>
      </c>
      <c r="N81" s="33">
        <f t="shared" si="5"/>
        <v>7</v>
      </c>
    </row>
    <row r="82" spans="1:14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33" t="str">
        <f t="shared" si="3"/>
        <v>YASH</v>
      </c>
      <c r="M82" s="33" t="str">
        <f t="shared" si="4"/>
        <v>printer</v>
      </c>
      <c r="N82" s="33">
        <f t="shared" si="5"/>
        <v>7</v>
      </c>
    </row>
    <row r="83" spans="1:14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33" t="str">
        <f t="shared" si="3"/>
        <v>MEERA</v>
      </c>
      <c r="M83" s="33" t="str">
        <f t="shared" si="4"/>
        <v>notebook</v>
      </c>
      <c r="N83" s="33">
        <f t="shared" si="5"/>
        <v>8</v>
      </c>
    </row>
    <row r="84" spans="1:14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33" t="str">
        <f t="shared" si="3"/>
        <v>SNEHA</v>
      </c>
      <c r="M84" s="33" t="str">
        <f t="shared" si="4"/>
        <v>diary</v>
      </c>
      <c r="N84" s="33">
        <f t="shared" si="5"/>
        <v>5</v>
      </c>
    </row>
    <row r="85" spans="1:14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33" t="str">
        <f t="shared" si="3"/>
        <v>AJAY</v>
      </c>
      <c r="M85" s="33" t="str">
        <f t="shared" si="4"/>
        <v>chair</v>
      </c>
      <c r="N85" s="33">
        <f t="shared" si="5"/>
        <v>5</v>
      </c>
    </row>
    <row r="86" spans="1:14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33" t="str">
        <f t="shared" si="3"/>
        <v>ASHA</v>
      </c>
      <c r="M86" s="33" t="str">
        <f t="shared" si="4"/>
        <v>laptop</v>
      </c>
      <c r="N86" s="33">
        <f t="shared" si="5"/>
        <v>6</v>
      </c>
    </row>
    <row r="87" spans="1:14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33" t="str">
        <f t="shared" si="3"/>
        <v>ASHA</v>
      </c>
      <c r="M87" s="33" t="str">
        <f t="shared" si="4"/>
        <v>diary</v>
      </c>
      <c r="N87" s="33">
        <f t="shared" si="5"/>
        <v>5</v>
      </c>
    </row>
    <row r="88" spans="1:14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33" t="str">
        <f t="shared" si="3"/>
        <v>RITESH</v>
      </c>
      <c r="M88" s="33" t="str">
        <f t="shared" si="4"/>
        <v>pen pack</v>
      </c>
      <c r="N88" s="33">
        <f t="shared" si="5"/>
        <v>8</v>
      </c>
    </row>
    <row r="89" spans="1:14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33" t="str">
        <f t="shared" si="3"/>
        <v>DEEPAK</v>
      </c>
      <c r="M89" s="33" t="str">
        <f t="shared" si="4"/>
        <v>headset</v>
      </c>
      <c r="N89" s="33">
        <f t="shared" si="5"/>
        <v>7</v>
      </c>
    </row>
    <row r="90" spans="1:14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33" t="str">
        <f t="shared" si="3"/>
        <v>KIRAN</v>
      </c>
      <c r="M90" s="33" t="str">
        <f t="shared" si="4"/>
        <v>printer</v>
      </c>
      <c r="N90" s="33">
        <f t="shared" si="5"/>
        <v>7</v>
      </c>
    </row>
    <row r="91" spans="1:14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33" t="str">
        <f t="shared" si="3"/>
        <v>AJAY</v>
      </c>
      <c r="M91" s="33" t="str">
        <f t="shared" si="4"/>
        <v>monitor</v>
      </c>
      <c r="N91" s="33">
        <f t="shared" si="5"/>
        <v>7</v>
      </c>
    </row>
    <row r="92" spans="1:14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33" t="str">
        <f t="shared" si="3"/>
        <v>SNEHA</v>
      </c>
      <c r="M92" s="33" t="str">
        <f t="shared" si="4"/>
        <v>diary</v>
      </c>
      <c r="N92" s="33">
        <f t="shared" si="5"/>
        <v>5</v>
      </c>
    </row>
    <row r="93" spans="1:14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33" t="str">
        <f t="shared" si="3"/>
        <v>MEERA</v>
      </c>
      <c r="M93" s="33" t="str">
        <f t="shared" si="4"/>
        <v>headset</v>
      </c>
      <c r="N93" s="33">
        <f t="shared" si="5"/>
        <v>7</v>
      </c>
    </row>
    <row r="94" spans="1:14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33" t="str">
        <f t="shared" si="3"/>
        <v>YASH</v>
      </c>
      <c r="M94" s="33" t="str">
        <f t="shared" si="4"/>
        <v>table</v>
      </c>
      <c r="N94" s="33">
        <f t="shared" si="5"/>
        <v>5</v>
      </c>
    </row>
    <row r="95" spans="1:14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33" t="str">
        <f t="shared" si="3"/>
        <v>YASH</v>
      </c>
      <c r="M95" s="33" t="str">
        <f t="shared" si="4"/>
        <v>mouse</v>
      </c>
      <c r="N95" s="33">
        <f t="shared" si="5"/>
        <v>5</v>
      </c>
    </row>
    <row r="96" spans="1:14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33" t="str">
        <f t="shared" si="3"/>
        <v>YASH</v>
      </c>
      <c r="M96" s="33" t="str">
        <f t="shared" si="4"/>
        <v>headset</v>
      </c>
      <c r="N96" s="33">
        <f t="shared" si="5"/>
        <v>7</v>
      </c>
    </row>
    <row r="97" spans="1:14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33" t="str">
        <f t="shared" si="3"/>
        <v>AJAY</v>
      </c>
      <c r="M97" s="33" t="str">
        <f t="shared" si="4"/>
        <v>table</v>
      </c>
      <c r="N97" s="33">
        <f t="shared" si="5"/>
        <v>5</v>
      </c>
    </row>
    <row r="98" spans="1:14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33" t="str">
        <f t="shared" si="3"/>
        <v>KOMAL</v>
      </c>
      <c r="M98" s="33" t="str">
        <f t="shared" si="4"/>
        <v>mouse</v>
      </c>
      <c r="N98" s="33">
        <f t="shared" si="5"/>
        <v>5</v>
      </c>
    </row>
    <row r="99" spans="1:14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33" t="str">
        <f t="shared" si="3"/>
        <v>VIKRAM</v>
      </c>
      <c r="M99" s="33" t="str">
        <f t="shared" si="4"/>
        <v>diary</v>
      </c>
      <c r="N99" s="33">
        <f t="shared" si="5"/>
        <v>5</v>
      </c>
    </row>
    <row r="100" spans="1:14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33" t="str">
        <f t="shared" si="3"/>
        <v>VIKRAM</v>
      </c>
      <c r="M100" s="33" t="str">
        <f t="shared" si="4"/>
        <v>desk</v>
      </c>
      <c r="N100" s="33">
        <f t="shared" si="5"/>
        <v>4</v>
      </c>
    </row>
    <row r="101" spans="1:14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33" t="str">
        <f t="shared" si="3"/>
        <v>RITESH</v>
      </c>
      <c r="M101" s="33" t="str">
        <f t="shared" si="4"/>
        <v>notebook</v>
      </c>
      <c r="N101" s="33">
        <f t="shared" si="5"/>
        <v>8</v>
      </c>
    </row>
    <row r="102" spans="1:14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33" t="str">
        <f t="shared" si="3"/>
        <v>ARJUN</v>
      </c>
      <c r="M102" s="33" t="str">
        <f t="shared" si="4"/>
        <v>mouse</v>
      </c>
      <c r="N102" s="33">
        <f t="shared" si="5"/>
        <v>5</v>
      </c>
    </row>
    <row r="103" spans="1:14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33" t="str">
        <f t="shared" si="3"/>
        <v>MANOJ</v>
      </c>
      <c r="M103" s="33" t="str">
        <f t="shared" si="4"/>
        <v>monitor</v>
      </c>
      <c r="N103" s="33">
        <f t="shared" si="5"/>
        <v>7</v>
      </c>
    </row>
    <row r="104" spans="1:14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33" t="str">
        <f t="shared" si="3"/>
        <v>POOJA</v>
      </c>
      <c r="M104" s="33" t="str">
        <f t="shared" si="4"/>
        <v>table</v>
      </c>
      <c r="N104" s="33">
        <f t="shared" si="5"/>
        <v>5</v>
      </c>
    </row>
    <row r="105" spans="1:14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33" t="str">
        <f t="shared" si="3"/>
        <v>POOJA</v>
      </c>
      <c r="M105" s="33" t="str">
        <f t="shared" si="4"/>
        <v>desk</v>
      </c>
      <c r="N105" s="33">
        <f t="shared" si="5"/>
        <v>4</v>
      </c>
    </row>
    <row r="106" spans="1:14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33" t="str">
        <f t="shared" si="3"/>
        <v>ANITA</v>
      </c>
      <c r="M106" s="33" t="str">
        <f t="shared" si="4"/>
        <v>marker</v>
      </c>
      <c r="N106" s="33">
        <f t="shared" si="5"/>
        <v>6</v>
      </c>
    </row>
    <row r="107" spans="1:14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33" t="str">
        <f t="shared" si="3"/>
        <v>ARJUN</v>
      </c>
      <c r="M107" s="33" t="str">
        <f t="shared" si="4"/>
        <v>table</v>
      </c>
      <c r="N107" s="33">
        <f t="shared" si="5"/>
        <v>5</v>
      </c>
    </row>
    <row r="108" spans="1:14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33" t="str">
        <f t="shared" si="3"/>
        <v>KOMAL</v>
      </c>
      <c r="M108" s="33" t="str">
        <f t="shared" si="4"/>
        <v>laptop</v>
      </c>
      <c r="N108" s="33">
        <f t="shared" si="5"/>
        <v>6</v>
      </c>
    </row>
    <row r="109" spans="1:14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33" t="str">
        <f t="shared" si="3"/>
        <v>NISHA</v>
      </c>
      <c r="M109" s="33" t="str">
        <f t="shared" si="4"/>
        <v>chair</v>
      </c>
      <c r="N109" s="33">
        <f t="shared" si="5"/>
        <v>5</v>
      </c>
    </row>
    <row r="110" spans="1:14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33" t="str">
        <f t="shared" si="3"/>
        <v>MEERA</v>
      </c>
      <c r="M110" s="33" t="str">
        <f t="shared" si="4"/>
        <v>bookshelf</v>
      </c>
      <c r="N110" s="33">
        <f t="shared" si="5"/>
        <v>9</v>
      </c>
    </row>
    <row r="111" spans="1:14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33" t="str">
        <f t="shared" si="3"/>
        <v>AJAY</v>
      </c>
      <c r="M111" s="33" t="str">
        <f t="shared" si="4"/>
        <v>table</v>
      </c>
      <c r="N111" s="33">
        <f t="shared" si="5"/>
        <v>5</v>
      </c>
    </row>
    <row r="112" spans="1:14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33" t="str">
        <f t="shared" si="3"/>
        <v>YASH</v>
      </c>
      <c r="M112" s="33" t="str">
        <f t="shared" si="4"/>
        <v>printer</v>
      </c>
      <c r="N112" s="33">
        <f t="shared" si="5"/>
        <v>7</v>
      </c>
    </row>
    <row r="113" spans="1:14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33" t="str">
        <f t="shared" si="3"/>
        <v>MEERA</v>
      </c>
      <c r="M113" s="33" t="str">
        <f t="shared" si="4"/>
        <v>bookshelf</v>
      </c>
      <c r="N113" s="33">
        <f t="shared" si="5"/>
        <v>9</v>
      </c>
    </row>
    <row r="114" spans="1:14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33" t="str">
        <f t="shared" si="3"/>
        <v>VIKRAM</v>
      </c>
      <c r="M114" s="33" t="str">
        <f t="shared" si="4"/>
        <v>cabinet</v>
      </c>
      <c r="N114" s="33">
        <f t="shared" si="5"/>
        <v>7</v>
      </c>
    </row>
    <row r="115" spans="1:14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33" t="str">
        <f t="shared" si="3"/>
        <v>POOJA</v>
      </c>
      <c r="M115" s="33" t="str">
        <f t="shared" si="4"/>
        <v>marker</v>
      </c>
      <c r="N115" s="33">
        <f t="shared" si="5"/>
        <v>6</v>
      </c>
    </row>
    <row r="116" spans="1:14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33" t="str">
        <f t="shared" si="3"/>
        <v>ANITA</v>
      </c>
      <c r="M116" s="33" t="str">
        <f t="shared" si="4"/>
        <v>marker</v>
      </c>
      <c r="N116" s="33">
        <f t="shared" si="5"/>
        <v>6</v>
      </c>
    </row>
    <row r="117" spans="1:14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33" t="str">
        <f t="shared" si="3"/>
        <v>POOJA</v>
      </c>
      <c r="M117" s="33" t="str">
        <f t="shared" si="4"/>
        <v>cabinet</v>
      </c>
      <c r="N117" s="33">
        <f t="shared" si="5"/>
        <v>7</v>
      </c>
    </row>
    <row r="118" spans="1:14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33" t="str">
        <f t="shared" si="3"/>
        <v>SNEHA</v>
      </c>
      <c r="M118" s="33" t="str">
        <f t="shared" si="4"/>
        <v>keyboard</v>
      </c>
      <c r="N118" s="33">
        <f t="shared" si="5"/>
        <v>8</v>
      </c>
    </row>
    <row r="119" spans="1:14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33" t="str">
        <f t="shared" si="3"/>
        <v>MEERA</v>
      </c>
      <c r="M119" s="33" t="str">
        <f t="shared" si="4"/>
        <v>table</v>
      </c>
      <c r="N119" s="33">
        <f t="shared" si="5"/>
        <v>5</v>
      </c>
    </row>
    <row r="120" spans="1:14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33" t="str">
        <f t="shared" si="3"/>
        <v>NEHA</v>
      </c>
      <c r="M120" s="33" t="str">
        <f t="shared" si="4"/>
        <v>chair</v>
      </c>
      <c r="N120" s="33">
        <f t="shared" si="5"/>
        <v>5</v>
      </c>
    </row>
    <row r="121" spans="1:14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33" t="str">
        <f t="shared" si="3"/>
        <v>ASHA</v>
      </c>
      <c r="M121" s="33" t="str">
        <f t="shared" si="4"/>
        <v>stapler</v>
      </c>
      <c r="N121" s="33">
        <f t="shared" si="5"/>
        <v>7</v>
      </c>
    </row>
    <row r="122" spans="1:14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33" t="str">
        <f t="shared" si="3"/>
        <v>PRIYA</v>
      </c>
      <c r="M122" s="33" t="str">
        <f t="shared" si="4"/>
        <v>keyboard</v>
      </c>
      <c r="N122" s="33">
        <f t="shared" si="5"/>
        <v>8</v>
      </c>
    </row>
    <row r="123" spans="1:14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33" t="str">
        <f t="shared" si="3"/>
        <v>DEEPAK</v>
      </c>
      <c r="M123" s="33" t="str">
        <f t="shared" si="4"/>
        <v>keyboard</v>
      </c>
      <c r="N123" s="33">
        <f t="shared" si="5"/>
        <v>8</v>
      </c>
    </row>
    <row r="124" spans="1:14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33" t="str">
        <f t="shared" si="3"/>
        <v>ASHA</v>
      </c>
      <c r="M124" s="33" t="str">
        <f t="shared" si="4"/>
        <v>monitor</v>
      </c>
      <c r="N124" s="33">
        <f t="shared" si="5"/>
        <v>7</v>
      </c>
    </row>
    <row r="125" spans="1:14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33" t="str">
        <f t="shared" si="3"/>
        <v>ARJUN</v>
      </c>
      <c r="M125" s="33" t="str">
        <f t="shared" si="4"/>
        <v>cabinet</v>
      </c>
      <c r="N125" s="33">
        <f t="shared" si="5"/>
        <v>7</v>
      </c>
    </row>
    <row r="126" spans="1:14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33" t="str">
        <f t="shared" si="3"/>
        <v>AJAY</v>
      </c>
      <c r="M126" s="33" t="str">
        <f t="shared" si="4"/>
        <v>notebook</v>
      </c>
      <c r="N126" s="33">
        <f t="shared" si="5"/>
        <v>8</v>
      </c>
    </row>
    <row r="127" spans="1:14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33" t="str">
        <f t="shared" si="3"/>
        <v>KIRAN</v>
      </c>
      <c r="M127" s="33" t="str">
        <f t="shared" si="4"/>
        <v>keyboard</v>
      </c>
      <c r="N127" s="33">
        <f t="shared" si="5"/>
        <v>8</v>
      </c>
    </row>
    <row r="128" spans="1:14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33" t="str">
        <f t="shared" si="3"/>
        <v>VIKRAM</v>
      </c>
      <c r="M128" s="33" t="str">
        <f t="shared" si="4"/>
        <v>chair</v>
      </c>
      <c r="N128" s="33">
        <f t="shared" si="5"/>
        <v>5</v>
      </c>
    </row>
    <row r="129" spans="1:14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33" t="str">
        <f t="shared" si="3"/>
        <v>NEHA</v>
      </c>
      <c r="M129" s="33" t="str">
        <f t="shared" si="4"/>
        <v>mouse</v>
      </c>
      <c r="N129" s="33">
        <f t="shared" si="5"/>
        <v>5</v>
      </c>
    </row>
    <row r="130" spans="1:14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33" t="str">
        <f t="shared" si="3"/>
        <v>ROHAN</v>
      </c>
      <c r="M130" s="33" t="str">
        <f t="shared" si="4"/>
        <v>marker</v>
      </c>
      <c r="N130" s="33">
        <f t="shared" si="5"/>
        <v>6</v>
      </c>
    </row>
    <row r="131" spans="1:14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33" t="str">
        <f t="shared" ref="L131:L194" si="6">UPPER(B131)</f>
        <v>NITIN</v>
      </c>
      <c r="M131" s="33" t="str">
        <f t="shared" ref="M131:M194" si="7">LOWER(E131)</f>
        <v>notebook</v>
      </c>
      <c r="N131" s="33">
        <f t="shared" ref="N131:N194" si="8">LEN(E131)</f>
        <v>8</v>
      </c>
    </row>
    <row r="132" spans="1:14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33" t="str">
        <f t="shared" si="6"/>
        <v>MEERA</v>
      </c>
      <c r="M132" s="33" t="str">
        <f t="shared" si="7"/>
        <v>table</v>
      </c>
      <c r="N132" s="33">
        <f t="shared" si="8"/>
        <v>5</v>
      </c>
    </row>
    <row r="133" spans="1:14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33" t="str">
        <f t="shared" si="6"/>
        <v>RITESH</v>
      </c>
      <c r="M133" s="33" t="str">
        <f t="shared" si="7"/>
        <v>marker</v>
      </c>
      <c r="N133" s="33">
        <f t="shared" si="8"/>
        <v>6</v>
      </c>
    </row>
    <row r="134" spans="1:14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33" t="str">
        <f t="shared" si="6"/>
        <v>RITESH</v>
      </c>
      <c r="M134" s="33" t="str">
        <f t="shared" si="7"/>
        <v>cabinet</v>
      </c>
      <c r="N134" s="33">
        <f t="shared" si="8"/>
        <v>7</v>
      </c>
    </row>
    <row r="135" spans="1:14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33" t="str">
        <f t="shared" si="6"/>
        <v>SARA</v>
      </c>
      <c r="M135" s="33" t="str">
        <f t="shared" si="7"/>
        <v>mouse</v>
      </c>
      <c r="N135" s="33">
        <f t="shared" si="8"/>
        <v>5</v>
      </c>
    </row>
    <row r="136" spans="1:14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33" t="str">
        <f t="shared" si="6"/>
        <v>AJAY</v>
      </c>
      <c r="M136" s="33" t="str">
        <f t="shared" si="7"/>
        <v>keyboard</v>
      </c>
      <c r="N136" s="33">
        <f t="shared" si="8"/>
        <v>8</v>
      </c>
    </row>
    <row r="137" spans="1:14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33" t="str">
        <f t="shared" si="6"/>
        <v>ARJUN</v>
      </c>
      <c r="M137" s="33" t="str">
        <f t="shared" si="7"/>
        <v>cabinet</v>
      </c>
      <c r="N137" s="33">
        <f t="shared" si="8"/>
        <v>7</v>
      </c>
    </row>
    <row r="138" spans="1:14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33" t="str">
        <f t="shared" si="6"/>
        <v>KOMAL</v>
      </c>
      <c r="M138" s="33" t="str">
        <f t="shared" si="7"/>
        <v>pen pack</v>
      </c>
      <c r="N138" s="33">
        <f t="shared" si="8"/>
        <v>8</v>
      </c>
    </row>
    <row r="139" spans="1:14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33" t="str">
        <f t="shared" si="6"/>
        <v>SNEHA</v>
      </c>
      <c r="M139" s="33" t="str">
        <f t="shared" si="7"/>
        <v>desk</v>
      </c>
      <c r="N139" s="33">
        <f t="shared" si="8"/>
        <v>4</v>
      </c>
    </row>
    <row r="140" spans="1:14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33" t="str">
        <f t="shared" si="6"/>
        <v>SNEHA</v>
      </c>
      <c r="M140" s="33" t="str">
        <f t="shared" si="7"/>
        <v>mouse</v>
      </c>
      <c r="N140" s="33">
        <f t="shared" si="8"/>
        <v>5</v>
      </c>
    </row>
    <row r="141" spans="1:14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33" t="str">
        <f t="shared" si="6"/>
        <v>SARA</v>
      </c>
      <c r="M141" s="33" t="str">
        <f t="shared" si="7"/>
        <v>headset</v>
      </c>
      <c r="N141" s="33">
        <f t="shared" si="8"/>
        <v>7</v>
      </c>
    </row>
    <row r="142" spans="1:14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33" t="str">
        <f t="shared" si="6"/>
        <v>RITESH</v>
      </c>
      <c r="M142" s="33" t="str">
        <f t="shared" si="7"/>
        <v>bookshelf</v>
      </c>
      <c r="N142" s="33">
        <f t="shared" si="8"/>
        <v>9</v>
      </c>
    </row>
    <row r="143" spans="1:14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33" t="str">
        <f t="shared" si="6"/>
        <v>DEEPAK</v>
      </c>
      <c r="M143" s="33" t="str">
        <f t="shared" si="7"/>
        <v>laptop</v>
      </c>
      <c r="N143" s="33">
        <f t="shared" si="8"/>
        <v>6</v>
      </c>
    </row>
    <row r="144" spans="1:14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33" t="str">
        <f t="shared" si="6"/>
        <v>PRIYA</v>
      </c>
      <c r="M144" s="33" t="str">
        <f t="shared" si="7"/>
        <v>pen pack</v>
      </c>
      <c r="N144" s="33">
        <f t="shared" si="8"/>
        <v>8</v>
      </c>
    </row>
    <row r="145" spans="1:14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33" t="str">
        <f t="shared" si="6"/>
        <v>NISHA</v>
      </c>
      <c r="M145" s="33" t="str">
        <f t="shared" si="7"/>
        <v>notebook</v>
      </c>
      <c r="N145" s="33">
        <f t="shared" si="8"/>
        <v>8</v>
      </c>
    </row>
    <row r="146" spans="1:14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33" t="str">
        <f t="shared" si="6"/>
        <v>NISHA</v>
      </c>
      <c r="M146" s="33" t="str">
        <f t="shared" si="7"/>
        <v>keyboard</v>
      </c>
      <c r="N146" s="33">
        <f t="shared" si="8"/>
        <v>8</v>
      </c>
    </row>
    <row r="147" spans="1:14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33" t="str">
        <f t="shared" si="6"/>
        <v>POOJA</v>
      </c>
      <c r="M147" s="33" t="str">
        <f t="shared" si="7"/>
        <v>monitor</v>
      </c>
      <c r="N147" s="33">
        <f t="shared" si="8"/>
        <v>7</v>
      </c>
    </row>
    <row r="148" spans="1:14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33" t="str">
        <f t="shared" si="6"/>
        <v>RITESH</v>
      </c>
      <c r="M148" s="33" t="str">
        <f t="shared" si="7"/>
        <v>chair</v>
      </c>
      <c r="N148" s="33">
        <f t="shared" si="8"/>
        <v>5</v>
      </c>
    </row>
    <row r="149" spans="1:14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33" t="str">
        <f t="shared" si="6"/>
        <v>ANITA</v>
      </c>
      <c r="M149" s="33" t="str">
        <f t="shared" si="7"/>
        <v>chair</v>
      </c>
      <c r="N149" s="33">
        <f t="shared" si="8"/>
        <v>5</v>
      </c>
    </row>
    <row r="150" spans="1:14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33" t="str">
        <f t="shared" si="6"/>
        <v>VIKRAM</v>
      </c>
      <c r="M150" s="33" t="str">
        <f t="shared" si="7"/>
        <v>printer</v>
      </c>
      <c r="N150" s="33">
        <f t="shared" si="8"/>
        <v>7</v>
      </c>
    </row>
    <row r="151" spans="1:14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33" t="str">
        <f t="shared" si="6"/>
        <v>NISHA</v>
      </c>
      <c r="M151" s="33" t="str">
        <f t="shared" si="7"/>
        <v>cabinet</v>
      </c>
      <c r="N151" s="33">
        <f t="shared" si="8"/>
        <v>7</v>
      </c>
    </row>
    <row r="152" spans="1:14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33" t="str">
        <f t="shared" si="6"/>
        <v>KIRAN</v>
      </c>
      <c r="M152" s="33" t="str">
        <f t="shared" si="7"/>
        <v>marker</v>
      </c>
      <c r="N152" s="33">
        <f t="shared" si="8"/>
        <v>6</v>
      </c>
    </row>
    <row r="153" spans="1:14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33" t="str">
        <f t="shared" si="6"/>
        <v>ARJUN</v>
      </c>
      <c r="M153" s="33" t="str">
        <f t="shared" si="7"/>
        <v>mouse</v>
      </c>
      <c r="N153" s="33">
        <f t="shared" si="8"/>
        <v>5</v>
      </c>
    </row>
    <row r="154" spans="1:14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33" t="str">
        <f t="shared" si="6"/>
        <v>NISHA</v>
      </c>
      <c r="M154" s="33" t="str">
        <f t="shared" si="7"/>
        <v>table</v>
      </c>
      <c r="N154" s="33">
        <f t="shared" si="8"/>
        <v>5</v>
      </c>
    </row>
    <row r="155" spans="1:14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33" t="str">
        <f t="shared" si="6"/>
        <v>ASHA</v>
      </c>
      <c r="M155" s="33" t="str">
        <f t="shared" si="7"/>
        <v>cabinet</v>
      </c>
      <c r="N155" s="33">
        <f t="shared" si="8"/>
        <v>7</v>
      </c>
    </row>
    <row r="156" spans="1:14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33" t="str">
        <f t="shared" si="6"/>
        <v>RITESH</v>
      </c>
      <c r="M156" s="33" t="str">
        <f t="shared" si="7"/>
        <v>chair</v>
      </c>
      <c r="N156" s="33">
        <f t="shared" si="8"/>
        <v>5</v>
      </c>
    </row>
    <row r="157" spans="1:14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33" t="str">
        <f t="shared" si="6"/>
        <v>MANOJ</v>
      </c>
      <c r="M157" s="33" t="str">
        <f t="shared" si="7"/>
        <v>stapler</v>
      </c>
      <c r="N157" s="33">
        <f t="shared" si="8"/>
        <v>7</v>
      </c>
    </row>
    <row r="158" spans="1:14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33" t="str">
        <f t="shared" si="6"/>
        <v>KOMAL</v>
      </c>
      <c r="M158" s="33" t="str">
        <f t="shared" si="7"/>
        <v>marker</v>
      </c>
      <c r="N158" s="33">
        <f t="shared" si="8"/>
        <v>6</v>
      </c>
    </row>
    <row r="159" spans="1:14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33" t="str">
        <f t="shared" si="6"/>
        <v>VIKRAM</v>
      </c>
      <c r="M159" s="33" t="str">
        <f t="shared" si="7"/>
        <v>headset</v>
      </c>
      <c r="N159" s="33">
        <f t="shared" si="8"/>
        <v>7</v>
      </c>
    </row>
    <row r="160" spans="1:14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33" t="str">
        <f t="shared" si="6"/>
        <v>ASHA</v>
      </c>
      <c r="M160" s="33" t="str">
        <f t="shared" si="7"/>
        <v>chair</v>
      </c>
      <c r="N160" s="33">
        <f t="shared" si="8"/>
        <v>5</v>
      </c>
    </row>
    <row r="161" spans="1:14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33" t="str">
        <f t="shared" si="6"/>
        <v>ANITA</v>
      </c>
      <c r="M161" s="33" t="str">
        <f t="shared" si="7"/>
        <v>keyboard</v>
      </c>
      <c r="N161" s="33">
        <f t="shared" si="8"/>
        <v>8</v>
      </c>
    </row>
    <row r="162" spans="1:14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33" t="str">
        <f t="shared" si="6"/>
        <v>ARJUN</v>
      </c>
      <c r="M162" s="33" t="str">
        <f t="shared" si="7"/>
        <v>keyboard</v>
      </c>
      <c r="N162" s="33">
        <f t="shared" si="8"/>
        <v>8</v>
      </c>
    </row>
    <row r="163" spans="1:14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33" t="str">
        <f t="shared" si="6"/>
        <v>SARA</v>
      </c>
      <c r="M163" s="33" t="str">
        <f t="shared" si="7"/>
        <v>monitor</v>
      </c>
      <c r="N163" s="33">
        <f t="shared" si="8"/>
        <v>7</v>
      </c>
    </row>
    <row r="164" spans="1:14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33" t="str">
        <f t="shared" si="6"/>
        <v>PRIYA</v>
      </c>
      <c r="M164" s="33" t="str">
        <f t="shared" si="7"/>
        <v>keyboard</v>
      </c>
      <c r="N164" s="33">
        <f t="shared" si="8"/>
        <v>8</v>
      </c>
    </row>
    <row r="165" spans="1:14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33" t="str">
        <f t="shared" si="6"/>
        <v>DEEPAK</v>
      </c>
      <c r="M165" s="33" t="str">
        <f t="shared" si="7"/>
        <v>mouse</v>
      </c>
      <c r="N165" s="33">
        <f t="shared" si="8"/>
        <v>5</v>
      </c>
    </row>
    <row r="166" spans="1:14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33" t="str">
        <f t="shared" si="6"/>
        <v>NITIN</v>
      </c>
      <c r="M166" s="33" t="str">
        <f t="shared" si="7"/>
        <v>pen pack</v>
      </c>
      <c r="N166" s="33">
        <f t="shared" si="8"/>
        <v>8</v>
      </c>
    </row>
    <row r="167" spans="1:14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33" t="str">
        <f t="shared" si="6"/>
        <v>ASHA</v>
      </c>
      <c r="M167" s="33" t="str">
        <f t="shared" si="7"/>
        <v>pen pack</v>
      </c>
      <c r="N167" s="33">
        <f t="shared" si="8"/>
        <v>8</v>
      </c>
    </row>
    <row r="168" spans="1:14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33" t="str">
        <f t="shared" si="6"/>
        <v>NITIN</v>
      </c>
      <c r="M168" s="33" t="str">
        <f t="shared" si="7"/>
        <v>pen pack</v>
      </c>
      <c r="N168" s="33">
        <f t="shared" si="8"/>
        <v>8</v>
      </c>
    </row>
    <row r="169" spans="1:14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33" t="str">
        <f t="shared" si="6"/>
        <v>MANOJ</v>
      </c>
      <c r="M169" s="33" t="str">
        <f t="shared" si="7"/>
        <v>pen pack</v>
      </c>
      <c r="N169" s="33">
        <f t="shared" si="8"/>
        <v>8</v>
      </c>
    </row>
    <row r="170" spans="1:14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33" t="str">
        <f t="shared" si="6"/>
        <v>YASH</v>
      </c>
      <c r="M170" s="33" t="str">
        <f t="shared" si="7"/>
        <v>cabinet</v>
      </c>
      <c r="N170" s="33">
        <f t="shared" si="8"/>
        <v>7</v>
      </c>
    </row>
    <row r="171" spans="1:14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33" t="str">
        <f t="shared" si="6"/>
        <v>AJAY</v>
      </c>
      <c r="M171" s="33" t="str">
        <f t="shared" si="7"/>
        <v>notebook</v>
      </c>
      <c r="N171" s="33">
        <f t="shared" si="8"/>
        <v>8</v>
      </c>
    </row>
    <row r="172" spans="1:14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33" t="str">
        <f t="shared" si="6"/>
        <v>SARA</v>
      </c>
      <c r="M172" s="33" t="str">
        <f t="shared" si="7"/>
        <v>marker</v>
      </c>
      <c r="N172" s="33">
        <f t="shared" si="8"/>
        <v>6</v>
      </c>
    </row>
    <row r="173" spans="1:14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33" t="str">
        <f t="shared" si="6"/>
        <v>POOJA</v>
      </c>
      <c r="M173" s="33" t="str">
        <f t="shared" si="7"/>
        <v>monitor</v>
      </c>
      <c r="N173" s="33">
        <f t="shared" si="8"/>
        <v>7</v>
      </c>
    </row>
    <row r="174" spans="1:14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33" t="str">
        <f t="shared" si="6"/>
        <v>DEEPAK</v>
      </c>
      <c r="M174" s="33" t="str">
        <f t="shared" si="7"/>
        <v>pen pack</v>
      </c>
      <c r="N174" s="33">
        <f t="shared" si="8"/>
        <v>8</v>
      </c>
    </row>
    <row r="175" spans="1:14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33" t="str">
        <f t="shared" si="6"/>
        <v>ROHAN</v>
      </c>
      <c r="M175" s="33" t="str">
        <f t="shared" si="7"/>
        <v>notebook</v>
      </c>
      <c r="N175" s="33">
        <f t="shared" si="8"/>
        <v>8</v>
      </c>
    </row>
    <row r="176" spans="1:14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33" t="str">
        <f t="shared" si="6"/>
        <v>VIKRAM</v>
      </c>
      <c r="M176" s="33" t="str">
        <f t="shared" si="7"/>
        <v>headset</v>
      </c>
      <c r="N176" s="33">
        <f t="shared" si="8"/>
        <v>7</v>
      </c>
    </row>
    <row r="177" spans="1:14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33" t="str">
        <f t="shared" si="6"/>
        <v>ROHAN</v>
      </c>
      <c r="M177" s="33" t="str">
        <f t="shared" si="7"/>
        <v>headset</v>
      </c>
      <c r="N177" s="33">
        <f t="shared" si="8"/>
        <v>7</v>
      </c>
    </row>
    <row r="178" spans="1:14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33" t="str">
        <f t="shared" si="6"/>
        <v>PRIYA</v>
      </c>
      <c r="M178" s="33" t="str">
        <f t="shared" si="7"/>
        <v>desk</v>
      </c>
      <c r="N178" s="33">
        <f t="shared" si="8"/>
        <v>4</v>
      </c>
    </row>
    <row r="179" spans="1:14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33" t="str">
        <f t="shared" si="6"/>
        <v>SARA</v>
      </c>
      <c r="M179" s="33" t="str">
        <f t="shared" si="7"/>
        <v>marker</v>
      </c>
      <c r="N179" s="33">
        <f t="shared" si="8"/>
        <v>6</v>
      </c>
    </row>
    <row r="180" spans="1:14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33" t="str">
        <f t="shared" si="6"/>
        <v>YASH</v>
      </c>
      <c r="M180" s="33" t="str">
        <f t="shared" si="7"/>
        <v>keyboard</v>
      </c>
      <c r="N180" s="33">
        <f t="shared" si="8"/>
        <v>8</v>
      </c>
    </row>
    <row r="181" spans="1:14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33" t="str">
        <f t="shared" si="6"/>
        <v>DEEPAK</v>
      </c>
      <c r="M181" s="33" t="str">
        <f t="shared" si="7"/>
        <v>chair</v>
      </c>
      <c r="N181" s="33">
        <f t="shared" si="8"/>
        <v>5</v>
      </c>
    </row>
    <row r="182" spans="1:14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33" t="str">
        <f t="shared" si="6"/>
        <v>ROHAN</v>
      </c>
      <c r="M182" s="33" t="str">
        <f t="shared" si="7"/>
        <v>stapler</v>
      </c>
      <c r="N182" s="33">
        <f t="shared" si="8"/>
        <v>7</v>
      </c>
    </row>
    <row r="183" spans="1:14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33" t="str">
        <f t="shared" si="6"/>
        <v>NISHA</v>
      </c>
      <c r="M183" s="33" t="str">
        <f t="shared" si="7"/>
        <v>keyboard</v>
      </c>
      <c r="N183" s="33">
        <f t="shared" si="8"/>
        <v>8</v>
      </c>
    </row>
    <row r="184" spans="1:14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33" t="str">
        <f t="shared" si="6"/>
        <v>KOMAL</v>
      </c>
      <c r="M184" s="33" t="str">
        <f t="shared" si="7"/>
        <v>notebook</v>
      </c>
      <c r="N184" s="33">
        <f t="shared" si="8"/>
        <v>8</v>
      </c>
    </row>
    <row r="185" spans="1:14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33" t="str">
        <f t="shared" si="6"/>
        <v>DEEPAK</v>
      </c>
      <c r="M185" s="33" t="str">
        <f t="shared" si="7"/>
        <v>keyboard</v>
      </c>
      <c r="N185" s="33">
        <f t="shared" si="8"/>
        <v>8</v>
      </c>
    </row>
    <row r="186" spans="1:14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33" t="str">
        <f t="shared" si="6"/>
        <v>ROHAN</v>
      </c>
      <c r="M186" s="33" t="str">
        <f t="shared" si="7"/>
        <v>laptop</v>
      </c>
      <c r="N186" s="33">
        <f t="shared" si="8"/>
        <v>6</v>
      </c>
    </row>
    <row r="187" spans="1:14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33" t="str">
        <f t="shared" si="6"/>
        <v>POOJA</v>
      </c>
      <c r="M187" s="33" t="str">
        <f t="shared" si="7"/>
        <v>bookshelf</v>
      </c>
      <c r="N187" s="33">
        <f t="shared" si="8"/>
        <v>9</v>
      </c>
    </row>
    <row r="188" spans="1:14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33" t="str">
        <f t="shared" si="6"/>
        <v>MANOJ</v>
      </c>
      <c r="M188" s="33" t="str">
        <f t="shared" si="7"/>
        <v>monitor</v>
      </c>
      <c r="N188" s="33">
        <f t="shared" si="8"/>
        <v>7</v>
      </c>
    </row>
    <row r="189" spans="1:14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33" t="str">
        <f t="shared" si="6"/>
        <v>PRIYA</v>
      </c>
      <c r="M189" s="33" t="str">
        <f t="shared" si="7"/>
        <v>cabinet</v>
      </c>
      <c r="N189" s="33">
        <f t="shared" si="8"/>
        <v>7</v>
      </c>
    </row>
    <row r="190" spans="1:14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33" t="str">
        <f t="shared" si="6"/>
        <v>AJAY</v>
      </c>
      <c r="M190" s="33" t="str">
        <f t="shared" si="7"/>
        <v>cabinet</v>
      </c>
      <c r="N190" s="33">
        <f t="shared" si="8"/>
        <v>7</v>
      </c>
    </row>
    <row r="191" spans="1:14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33" t="str">
        <f t="shared" si="6"/>
        <v>SARA</v>
      </c>
      <c r="M191" s="33" t="str">
        <f t="shared" si="7"/>
        <v>chair</v>
      </c>
      <c r="N191" s="33">
        <f t="shared" si="8"/>
        <v>5</v>
      </c>
    </row>
    <row r="192" spans="1:14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33" t="str">
        <f t="shared" si="6"/>
        <v>KOMAL</v>
      </c>
      <c r="M192" s="33" t="str">
        <f t="shared" si="7"/>
        <v>cabinet</v>
      </c>
      <c r="N192" s="33">
        <f t="shared" si="8"/>
        <v>7</v>
      </c>
    </row>
    <row r="193" spans="1:14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33" t="str">
        <f t="shared" si="6"/>
        <v>MEERA</v>
      </c>
      <c r="M193" s="33" t="str">
        <f t="shared" si="7"/>
        <v>diary</v>
      </c>
      <c r="N193" s="33">
        <f t="shared" si="8"/>
        <v>5</v>
      </c>
    </row>
    <row r="194" spans="1:14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33" t="str">
        <f t="shared" si="6"/>
        <v>SARA</v>
      </c>
      <c r="M194" s="33" t="str">
        <f t="shared" si="7"/>
        <v>table</v>
      </c>
      <c r="N194" s="33">
        <f t="shared" si="8"/>
        <v>5</v>
      </c>
    </row>
    <row r="195" spans="1:14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33" t="str">
        <f t="shared" ref="L195:L258" si="9">UPPER(B195)</f>
        <v>SARA</v>
      </c>
      <c r="M195" s="33" t="str">
        <f t="shared" ref="M195:M258" si="10">LOWER(E195)</f>
        <v>chair</v>
      </c>
      <c r="N195" s="33">
        <f t="shared" ref="N195:N258" si="11">LEN(E195)</f>
        <v>5</v>
      </c>
    </row>
    <row r="196" spans="1:14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33" t="str">
        <f t="shared" si="9"/>
        <v>ANITA</v>
      </c>
      <c r="M196" s="33" t="str">
        <f t="shared" si="10"/>
        <v>marker</v>
      </c>
      <c r="N196" s="33">
        <f t="shared" si="11"/>
        <v>6</v>
      </c>
    </row>
    <row r="197" spans="1:14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33" t="str">
        <f t="shared" si="9"/>
        <v>NITIN</v>
      </c>
      <c r="M197" s="33" t="str">
        <f t="shared" si="10"/>
        <v>printer</v>
      </c>
      <c r="N197" s="33">
        <f t="shared" si="11"/>
        <v>7</v>
      </c>
    </row>
    <row r="198" spans="1:14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33" t="str">
        <f t="shared" si="9"/>
        <v>KOMAL</v>
      </c>
      <c r="M198" s="33" t="str">
        <f t="shared" si="10"/>
        <v>printer</v>
      </c>
      <c r="N198" s="33">
        <f t="shared" si="11"/>
        <v>7</v>
      </c>
    </row>
    <row r="199" spans="1:14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33" t="str">
        <f t="shared" si="9"/>
        <v>ROHAN</v>
      </c>
      <c r="M199" s="33" t="str">
        <f t="shared" si="10"/>
        <v>notebook</v>
      </c>
      <c r="N199" s="33">
        <f t="shared" si="11"/>
        <v>8</v>
      </c>
    </row>
    <row r="200" spans="1:14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33" t="str">
        <f t="shared" si="9"/>
        <v>RITESH</v>
      </c>
      <c r="M200" s="33" t="str">
        <f t="shared" si="10"/>
        <v>monitor</v>
      </c>
      <c r="N200" s="33">
        <f t="shared" si="11"/>
        <v>7</v>
      </c>
    </row>
    <row r="201" spans="1:14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33" t="str">
        <f t="shared" si="9"/>
        <v>PRIYA</v>
      </c>
      <c r="M201" s="33" t="str">
        <f t="shared" si="10"/>
        <v>monitor</v>
      </c>
      <c r="N201" s="33">
        <f t="shared" si="11"/>
        <v>7</v>
      </c>
    </row>
    <row r="202" spans="1:14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33" t="str">
        <f t="shared" si="9"/>
        <v>MANOJ</v>
      </c>
      <c r="M202" s="33" t="str">
        <f t="shared" si="10"/>
        <v>diary</v>
      </c>
      <c r="N202" s="33">
        <f t="shared" si="11"/>
        <v>5</v>
      </c>
    </row>
    <row r="203" spans="1:14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33" t="str">
        <f t="shared" si="9"/>
        <v>SARA</v>
      </c>
      <c r="M203" s="33" t="str">
        <f t="shared" si="10"/>
        <v>printer</v>
      </c>
      <c r="N203" s="33">
        <f t="shared" si="11"/>
        <v>7</v>
      </c>
    </row>
    <row r="204" spans="1:14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33" t="str">
        <f t="shared" si="9"/>
        <v>DEEPAK</v>
      </c>
      <c r="M204" s="33" t="str">
        <f t="shared" si="10"/>
        <v>table</v>
      </c>
      <c r="N204" s="33">
        <f t="shared" si="11"/>
        <v>5</v>
      </c>
    </row>
    <row r="205" spans="1:14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33" t="str">
        <f t="shared" si="9"/>
        <v>POOJA</v>
      </c>
      <c r="M205" s="33" t="str">
        <f t="shared" si="10"/>
        <v>pen pack</v>
      </c>
      <c r="N205" s="33">
        <f t="shared" si="11"/>
        <v>8</v>
      </c>
    </row>
    <row r="206" spans="1:14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33" t="str">
        <f t="shared" si="9"/>
        <v>MEERA</v>
      </c>
      <c r="M206" s="33" t="str">
        <f t="shared" si="10"/>
        <v>stapler</v>
      </c>
      <c r="N206" s="33">
        <f t="shared" si="11"/>
        <v>7</v>
      </c>
    </row>
    <row r="207" spans="1:14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33" t="str">
        <f t="shared" si="9"/>
        <v>SNEHA</v>
      </c>
      <c r="M207" s="33" t="str">
        <f t="shared" si="10"/>
        <v>notebook</v>
      </c>
      <c r="N207" s="33">
        <f t="shared" si="11"/>
        <v>8</v>
      </c>
    </row>
    <row r="208" spans="1:14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33" t="str">
        <f t="shared" si="9"/>
        <v>SNEHA</v>
      </c>
      <c r="M208" s="33" t="str">
        <f t="shared" si="10"/>
        <v>diary</v>
      </c>
      <c r="N208" s="33">
        <f t="shared" si="11"/>
        <v>5</v>
      </c>
    </row>
    <row r="209" spans="1:14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33" t="str">
        <f t="shared" si="9"/>
        <v>MANOJ</v>
      </c>
      <c r="M209" s="33" t="str">
        <f t="shared" si="10"/>
        <v>bookshelf</v>
      </c>
      <c r="N209" s="33">
        <f t="shared" si="11"/>
        <v>9</v>
      </c>
    </row>
    <row r="210" spans="1:14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33" t="str">
        <f t="shared" si="9"/>
        <v>NITIN</v>
      </c>
      <c r="M210" s="33" t="str">
        <f t="shared" si="10"/>
        <v>printer</v>
      </c>
      <c r="N210" s="33">
        <f t="shared" si="11"/>
        <v>7</v>
      </c>
    </row>
    <row r="211" spans="1:14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33" t="str">
        <f t="shared" si="9"/>
        <v>NEHA</v>
      </c>
      <c r="M211" s="33" t="str">
        <f t="shared" si="10"/>
        <v>diary</v>
      </c>
      <c r="N211" s="33">
        <f t="shared" si="11"/>
        <v>5</v>
      </c>
    </row>
    <row r="212" spans="1:14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33" t="str">
        <f t="shared" si="9"/>
        <v>NITIN</v>
      </c>
      <c r="M212" s="33" t="str">
        <f t="shared" si="10"/>
        <v>printer</v>
      </c>
      <c r="N212" s="33">
        <f t="shared" si="11"/>
        <v>7</v>
      </c>
    </row>
    <row r="213" spans="1:14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33" t="str">
        <f t="shared" si="9"/>
        <v>ANITA</v>
      </c>
      <c r="M213" s="33" t="str">
        <f t="shared" si="10"/>
        <v>laptop</v>
      </c>
      <c r="N213" s="33">
        <f t="shared" si="11"/>
        <v>6</v>
      </c>
    </row>
    <row r="214" spans="1:14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33" t="str">
        <f t="shared" si="9"/>
        <v>ASHA</v>
      </c>
      <c r="M214" s="33" t="str">
        <f t="shared" si="10"/>
        <v>monitor</v>
      </c>
      <c r="N214" s="33">
        <f t="shared" si="11"/>
        <v>7</v>
      </c>
    </row>
    <row r="215" spans="1:14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33" t="str">
        <f t="shared" si="9"/>
        <v>NISHA</v>
      </c>
      <c r="M215" s="33" t="str">
        <f t="shared" si="10"/>
        <v>chair</v>
      </c>
      <c r="N215" s="33">
        <f t="shared" si="11"/>
        <v>5</v>
      </c>
    </row>
    <row r="216" spans="1:14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33" t="str">
        <f t="shared" si="9"/>
        <v>ARJUN</v>
      </c>
      <c r="M216" s="33" t="str">
        <f t="shared" si="10"/>
        <v>chair</v>
      </c>
      <c r="N216" s="33">
        <f t="shared" si="11"/>
        <v>5</v>
      </c>
    </row>
    <row r="217" spans="1:14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33" t="str">
        <f t="shared" si="9"/>
        <v>DEEPAK</v>
      </c>
      <c r="M217" s="33" t="str">
        <f t="shared" si="10"/>
        <v>monitor</v>
      </c>
      <c r="N217" s="33">
        <f t="shared" si="11"/>
        <v>7</v>
      </c>
    </row>
    <row r="218" spans="1:14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33" t="str">
        <f t="shared" si="9"/>
        <v>NEHA</v>
      </c>
      <c r="M218" s="33" t="str">
        <f t="shared" si="10"/>
        <v>marker</v>
      </c>
      <c r="N218" s="33">
        <f t="shared" si="11"/>
        <v>6</v>
      </c>
    </row>
    <row r="219" spans="1:14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33" t="str">
        <f t="shared" si="9"/>
        <v>SNEHA</v>
      </c>
      <c r="M219" s="33" t="str">
        <f t="shared" si="10"/>
        <v>notebook</v>
      </c>
      <c r="N219" s="33">
        <f t="shared" si="11"/>
        <v>8</v>
      </c>
    </row>
    <row r="220" spans="1:14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33" t="str">
        <f t="shared" si="9"/>
        <v>KIRAN</v>
      </c>
      <c r="M220" s="33" t="str">
        <f t="shared" si="10"/>
        <v>notebook</v>
      </c>
      <c r="N220" s="33">
        <f t="shared" si="11"/>
        <v>8</v>
      </c>
    </row>
    <row r="221" spans="1:14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33" t="str">
        <f t="shared" si="9"/>
        <v>RITESH</v>
      </c>
      <c r="M221" s="33" t="str">
        <f t="shared" si="10"/>
        <v>cabinet</v>
      </c>
      <c r="N221" s="33">
        <f t="shared" si="11"/>
        <v>7</v>
      </c>
    </row>
    <row r="222" spans="1:14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33" t="str">
        <f t="shared" si="9"/>
        <v>RITESH</v>
      </c>
      <c r="M222" s="33" t="str">
        <f t="shared" si="10"/>
        <v>cabinet</v>
      </c>
      <c r="N222" s="33">
        <f t="shared" si="11"/>
        <v>7</v>
      </c>
    </row>
    <row r="223" spans="1:14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33" t="str">
        <f t="shared" si="9"/>
        <v>NEHA</v>
      </c>
      <c r="M223" s="33" t="str">
        <f t="shared" si="10"/>
        <v>table</v>
      </c>
      <c r="N223" s="33">
        <f t="shared" si="11"/>
        <v>5</v>
      </c>
    </row>
    <row r="224" spans="1:14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33" t="str">
        <f t="shared" si="9"/>
        <v>ANITA</v>
      </c>
      <c r="M224" s="33" t="str">
        <f t="shared" si="10"/>
        <v>table</v>
      </c>
      <c r="N224" s="33">
        <f t="shared" si="11"/>
        <v>5</v>
      </c>
    </row>
    <row r="225" spans="1:14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33" t="str">
        <f t="shared" si="9"/>
        <v>NEHA</v>
      </c>
      <c r="M225" s="33" t="str">
        <f t="shared" si="10"/>
        <v>monitor</v>
      </c>
      <c r="N225" s="33">
        <f t="shared" si="11"/>
        <v>7</v>
      </c>
    </row>
    <row r="226" spans="1:14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33" t="str">
        <f t="shared" si="9"/>
        <v>NISHA</v>
      </c>
      <c r="M226" s="33" t="str">
        <f t="shared" si="10"/>
        <v>printer</v>
      </c>
      <c r="N226" s="33">
        <f t="shared" si="11"/>
        <v>7</v>
      </c>
    </row>
    <row r="227" spans="1:14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33" t="str">
        <f t="shared" si="9"/>
        <v>PRIYA</v>
      </c>
      <c r="M227" s="33" t="str">
        <f t="shared" si="10"/>
        <v>headset</v>
      </c>
      <c r="N227" s="33">
        <f t="shared" si="11"/>
        <v>7</v>
      </c>
    </row>
    <row r="228" spans="1:14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33" t="str">
        <f t="shared" si="9"/>
        <v>ROHAN</v>
      </c>
      <c r="M228" s="33" t="str">
        <f t="shared" si="10"/>
        <v>monitor</v>
      </c>
      <c r="N228" s="33">
        <f t="shared" si="11"/>
        <v>7</v>
      </c>
    </row>
    <row r="229" spans="1:14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33" t="str">
        <f t="shared" si="9"/>
        <v>PRIYA</v>
      </c>
      <c r="M229" s="33" t="str">
        <f t="shared" si="10"/>
        <v>monitor</v>
      </c>
      <c r="N229" s="33">
        <f t="shared" si="11"/>
        <v>7</v>
      </c>
    </row>
    <row r="230" spans="1:14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33" t="str">
        <f t="shared" si="9"/>
        <v>SARA</v>
      </c>
      <c r="M230" s="33" t="str">
        <f t="shared" si="10"/>
        <v>cabinet</v>
      </c>
      <c r="N230" s="33">
        <f t="shared" si="11"/>
        <v>7</v>
      </c>
    </row>
    <row r="231" spans="1:14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33" t="str">
        <f t="shared" si="9"/>
        <v>ANITA</v>
      </c>
      <c r="M231" s="33" t="str">
        <f t="shared" si="10"/>
        <v>laptop</v>
      </c>
      <c r="N231" s="33">
        <f t="shared" si="11"/>
        <v>6</v>
      </c>
    </row>
    <row r="232" spans="1:14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33" t="str">
        <f t="shared" si="9"/>
        <v>NITIN</v>
      </c>
      <c r="M232" s="33" t="str">
        <f t="shared" si="10"/>
        <v>desk</v>
      </c>
      <c r="N232" s="33">
        <f t="shared" si="11"/>
        <v>4</v>
      </c>
    </row>
    <row r="233" spans="1:14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33" t="str">
        <f t="shared" si="9"/>
        <v>MEERA</v>
      </c>
      <c r="M233" s="33" t="str">
        <f t="shared" si="10"/>
        <v>laptop</v>
      </c>
      <c r="N233" s="33">
        <f t="shared" si="11"/>
        <v>6</v>
      </c>
    </row>
    <row r="234" spans="1:14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33" t="str">
        <f t="shared" si="9"/>
        <v>ROHAN</v>
      </c>
      <c r="M234" s="33" t="str">
        <f t="shared" si="10"/>
        <v>desk</v>
      </c>
      <c r="N234" s="33">
        <f t="shared" si="11"/>
        <v>4</v>
      </c>
    </row>
    <row r="235" spans="1:14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33" t="str">
        <f t="shared" si="9"/>
        <v>RITESH</v>
      </c>
      <c r="M235" s="33" t="str">
        <f t="shared" si="10"/>
        <v>chair</v>
      </c>
      <c r="N235" s="33">
        <f t="shared" si="11"/>
        <v>5</v>
      </c>
    </row>
    <row r="236" spans="1:14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33" t="str">
        <f t="shared" si="9"/>
        <v>SARA</v>
      </c>
      <c r="M236" s="33" t="str">
        <f t="shared" si="10"/>
        <v>marker</v>
      </c>
      <c r="N236" s="33">
        <f t="shared" si="11"/>
        <v>6</v>
      </c>
    </row>
    <row r="237" spans="1:14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33" t="str">
        <f t="shared" si="9"/>
        <v>MANOJ</v>
      </c>
      <c r="M237" s="33" t="str">
        <f t="shared" si="10"/>
        <v>pen pack</v>
      </c>
      <c r="N237" s="33">
        <f t="shared" si="11"/>
        <v>8</v>
      </c>
    </row>
    <row r="238" spans="1:14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33" t="str">
        <f t="shared" si="9"/>
        <v>KIRAN</v>
      </c>
      <c r="M238" s="33" t="str">
        <f t="shared" si="10"/>
        <v>cabinet</v>
      </c>
      <c r="N238" s="33">
        <f t="shared" si="11"/>
        <v>7</v>
      </c>
    </row>
    <row r="239" spans="1:14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33" t="str">
        <f t="shared" si="9"/>
        <v>NEHA</v>
      </c>
      <c r="M239" s="33" t="str">
        <f t="shared" si="10"/>
        <v>notebook</v>
      </c>
      <c r="N239" s="33">
        <f t="shared" si="11"/>
        <v>8</v>
      </c>
    </row>
    <row r="240" spans="1:14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33" t="str">
        <f t="shared" si="9"/>
        <v>NITIN</v>
      </c>
      <c r="M240" s="33" t="str">
        <f t="shared" si="10"/>
        <v>cabinet</v>
      </c>
      <c r="N240" s="33">
        <f t="shared" si="11"/>
        <v>7</v>
      </c>
    </row>
    <row r="241" spans="1:14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33" t="str">
        <f t="shared" si="9"/>
        <v>SNEHA</v>
      </c>
      <c r="M241" s="33" t="str">
        <f t="shared" si="10"/>
        <v>table</v>
      </c>
      <c r="N241" s="33">
        <f t="shared" si="11"/>
        <v>5</v>
      </c>
    </row>
    <row r="242" spans="1:14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33" t="str">
        <f t="shared" si="9"/>
        <v>KIRAN</v>
      </c>
      <c r="M242" s="33" t="str">
        <f t="shared" si="10"/>
        <v>bookshelf</v>
      </c>
      <c r="N242" s="33">
        <f t="shared" si="11"/>
        <v>9</v>
      </c>
    </row>
    <row r="243" spans="1:14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33" t="str">
        <f t="shared" si="9"/>
        <v>MANOJ</v>
      </c>
      <c r="M243" s="33" t="str">
        <f t="shared" si="10"/>
        <v>marker</v>
      </c>
      <c r="N243" s="33">
        <f t="shared" si="11"/>
        <v>6</v>
      </c>
    </row>
    <row r="244" spans="1:14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33" t="str">
        <f t="shared" si="9"/>
        <v>NEHA</v>
      </c>
      <c r="M244" s="33" t="str">
        <f t="shared" si="10"/>
        <v>headset</v>
      </c>
      <c r="N244" s="33">
        <f t="shared" si="11"/>
        <v>7</v>
      </c>
    </row>
    <row r="245" spans="1:14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33" t="str">
        <f t="shared" si="9"/>
        <v>SARA</v>
      </c>
      <c r="M245" s="33" t="str">
        <f t="shared" si="10"/>
        <v>chair</v>
      </c>
      <c r="N245" s="33">
        <f t="shared" si="11"/>
        <v>5</v>
      </c>
    </row>
    <row r="246" spans="1:14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33" t="str">
        <f t="shared" si="9"/>
        <v>SNEHA</v>
      </c>
      <c r="M246" s="33" t="str">
        <f t="shared" si="10"/>
        <v>headset</v>
      </c>
      <c r="N246" s="33">
        <f t="shared" si="11"/>
        <v>7</v>
      </c>
    </row>
    <row r="247" spans="1:14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33" t="str">
        <f t="shared" si="9"/>
        <v>SNEHA</v>
      </c>
      <c r="M247" s="33" t="str">
        <f t="shared" si="10"/>
        <v>printer</v>
      </c>
      <c r="N247" s="33">
        <f t="shared" si="11"/>
        <v>7</v>
      </c>
    </row>
    <row r="248" spans="1:14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33" t="str">
        <f t="shared" si="9"/>
        <v>VIKRAM</v>
      </c>
      <c r="M248" s="33" t="str">
        <f t="shared" si="10"/>
        <v>marker</v>
      </c>
      <c r="N248" s="33">
        <f t="shared" si="11"/>
        <v>6</v>
      </c>
    </row>
    <row r="249" spans="1:14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33" t="str">
        <f t="shared" si="9"/>
        <v>ARJUN</v>
      </c>
      <c r="M249" s="33" t="str">
        <f t="shared" si="10"/>
        <v>pen pack</v>
      </c>
      <c r="N249" s="33">
        <f t="shared" si="11"/>
        <v>8</v>
      </c>
    </row>
    <row r="250" spans="1:14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33" t="str">
        <f t="shared" si="9"/>
        <v>POOJA</v>
      </c>
      <c r="M250" s="33" t="str">
        <f t="shared" si="10"/>
        <v>headset</v>
      </c>
      <c r="N250" s="33">
        <f t="shared" si="11"/>
        <v>7</v>
      </c>
    </row>
    <row r="251" spans="1:14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33" t="str">
        <f t="shared" si="9"/>
        <v>RITESH</v>
      </c>
      <c r="M251" s="33" t="str">
        <f t="shared" si="10"/>
        <v>monitor</v>
      </c>
      <c r="N251" s="33">
        <f t="shared" si="11"/>
        <v>7</v>
      </c>
    </row>
    <row r="252" spans="1:14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33" t="str">
        <f t="shared" si="9"/>
        <v>SNEHA</v>
      </c>
      <c r="M252" s="33" t="str">
        <f t="shared" si="10"/>
        <v>mouse</v>
      </c>
      <c r="N252" s="33">
        <f t="shared" si="11"/>
        <v>5</v>
      </c>
    </row>
    <row r="253" spans="1:14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33" t="str">
        <f t="shared" si="9"/>
        <v>YASH</v>
      </c>
      <c r="M253" s="33" t="str">
        <f t="shared" si="10"/>
        <v>stapler</v>
      </c>
      <c r="N253" s="33">
        <f t="shared" si="11"/>
        <v>7</v>
      </c>
    </row>
    <row r="254" spans="1:14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33" t="str">
        <f t="shared" si="9"/>
        <v>MEERA</v>
      </c>
      <c r="M254" s="33" t="str">
        <f t="shared" si="10"/>
        <v>monitor</v>
      </c>
      <c r="N254" s="33">
        <f t="shared" si="11"/>
        <v>7</v>
      </c>
    </row>
    <row r="255" spans="1:14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33" t="str">
        <f t="shared" si="9"/>
        <v>KOMAL</v>
      </c>
      <c r="M255" s="33" t="str">
        <f t="shared" si="10"/>
        <v>marker</v>
      </c>
      <c r="N255" s="33">
        <f t="shared" si="11"/>
        <v>6</v>
      </c>
    </row>
    <row r="256" spans="1:14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33" t="str">
        <f t="shared" si="9"/>
        <v>ASHA</v>
      </c>
      <c r="M256" s="33" t="str">
        <f t="shared" si="10"/>
        <v>desk</v>
      </c>
      <c r="N256" s="33">
        <f t="shared" si="11"/>
        <v>4</v>
      </c>
    </row>
    <row r="257" spans="1:14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33" t="str">
        <f t="shared" si="9"/>
        <v>NITIN</v>
      </c>
      <c r="M257" s="33" t="str">
        <f t="shared" si="10"/>
        <v>marker</v>
      </c>
      <c r="N257" s="33">
        <f t="shared" si="11"/>
        <v>6</v>
      </c>
    </row>
    <row r="258" spans="1:14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33" t="str">
        <f t="shared" si="9"/>
        <v>MANOJ</v>
      </c>
      <c r="M258" s="33" t="str">
        <f t="shared" si="10"/>
        <v>mouse</v>
      </c>
      <c r="N258" s="33">
        <f t="shared" si="11"/>
        <v>5</v>
      </c>
    </row>
    <row r="259" spans="1:14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33" t="str">
        <f t="shared" ref="L259:L322" si="12">UPPER(B259)</f>
        <v>ASHA</v>
      </c>
      <c r="M259" s="33" t="str">
        <f t="shared" ref="M259:M322" si="13">LOWER(E259)</f>
        <v>laptop</v>
      </c>
      <c r="N259" s="33">
        <f t="shared" ref="N259:N322" si="14">LEN(E259)</f>
        <v>6</v>
      </c>
    </row>
    <row r="260" spans="1:14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33" t="str">
        <f t="shared" si="12"/>
        <v>NISHA</v>
      </c>
      <c r="M260" s="33" t="str">
        <f t="shared" si="13"/>
        <v>monitor</v>
      </c>
      <c r="N260" s="33">
        <f t="shared" si="14"/>
        <v>7</v>
      </c>
    </row>
    <row r="261" spans="1:14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33" t="str">
        <f t="shared" si="12"/>
        <v>MANOJ</v>
      </c>
      <c r="M261" s="33" t="str">
        <f t="shared" si="13"/>
        <v>headset</v>
      </c>
      <c r="N261" s="33">
        <f t="shared" si="14"/>
        <v>7</v>
      </c>
    </row>
    <row r="262" spans="1:14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33" t="str">
        <f t="shared" si="12"/>
        <v>DEEPAK</v>
      </c>
      <c r="M262" s="33" t="str">
        <f t="shared" si="13"/>
        <v>marker</v>
      </c>
      <c r="N262" s="33">
        <f t="shared" si="14"/>
        <v>6</v>
      </c>
    </row>
    <row r="263" spans="1:14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33" t="str">
        <f t="shared" si="12"/>
        <v>POOJA</v>
      </c>
      <c r="M263" s="33" t="str">
        <f t="shared" si="13"/>
        <v>chair</v>
      </c>
      <c r="N263" s="33">
        <f t="shared" si="14"/>
        <v>5</v>
      </c>
    </row>
    <row r="264" spans="1:14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33" t="str">
        <f t="shared" si="12"/>
        <v>PRIYA</v>
      </c>
      <c r="M264" s="33" t="str">
        <f t="shared" si="13"/>
        <v>chair</v>
      </c>
      <c r="N264" s="33">
        <f t="shared" si="14"/>
        <v>5</v>
      </c>
    </row>
    <row r="265" spans="1:14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33" t="str">
        <f t="shared" si="12"/>
        <v>RITESH</v>
      </c>
      <c r="M265" s="33" t="str">
        <f t="shared" si="13"/>
        <v>chair</v>
      </c>
      <c r="N265" s="33">
        <f t="shared" si="14"/>
        <v>5</v>
      </c>
    </row>
    <row r="266" spans="1:14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33" t="str">
        <f t="shared" si="12"/>
        <v>ROHAN</v>
      </c>
      <c r="M266" s="33" t="str">
        <f t="shared" si="13"/>
        <v>desk</v>
      </c>
      <c r="N266" s="33">
        <f t="shared" si="14"/>
        <v>4</v>
      </c>
    </row>
    <row r="267" spans="1:14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33" t="str">
        <f t="shared" si="12"/>
        <v>PRIYA</v>
      </c>
      <c r="M267" s="33" t="str">
        <f t="shared" si="13"/>
        <v>notebook</v>
      </c>
      <c r="N267" s="33">
        <f t="shared" si="14"/>
        <v>8</v>
      </c>
    </row>
    <row r="268" spans="1:14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33" t="str">
        <f t="shared" si="12"/>
        <v>ARJUN</v>
      </c>
      <c r="M268" s="33" t="str">
        <f t="shared" si="13"/>
        <v>marker</v>
      </c>
      <c r="N268" s="33">
        <f t="shared" si="14"/>
        <v>6</v>
      </c>
    </row>
    <row r="269" spans="1:14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33" t="str">
        <f t="shared" si="12"/>
        <v>NISHA</v>
      </c>
      <c r="M269" s="33" t="str">
        <f t="shared" si="13"/>
        <v>monitor</v>
      </c>
      <c r="N269" s="33">
        <f t="shared" si="14"/>
        <v>7</v>
      </c>
    </row>
    <row r="270" spans="1:14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33" t="str">
        <f t="shared" si="12"/>
        <v>KOMAL</v>
      </c>
      <c r="M270" s="33" t="str">
        <f t="shared" si="13"/>
        <v>desk</v>
      </c>
      <c r="N270" s="33">
        <f t="shared" si="14"/>
        <v>4</v>
      </c>
    </row>
    <row r="271" spans="1:14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33" t="str">
        <f t="shared" si="12"/>
        <v>AJAY</v>
      </c>
      <c r="M271" s="33" t="str">
        <f t="shared" si="13"/>
        <v>printer</v>
      </c>
      <c r="N271" s="33">
        <f t="shared" si="14"/>
        <v>7</v>
      </c>
    </row>
    <row r="272" spans="1:14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33" t="str">
        <f t="shared" si="12"/>
        <v>DEEPAK</v>
      </c>
      <c r="M272" s="33" t="str">
        <f t="shared" si="13"/>
        <v>laptop</v>
      </c>
      <c r="N272" s="33">
        <f t="shared" si="14"/>
        <v>6</v>
      </c>
    </row>
    <row r="273" spans="1:14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33" t="str">
        <f t="shared" si="12"/>
        <v>KOMAL</v>
      </c>
      <c r="M273" s="33" t="str">
        <f t="shared" si="13"/>
        <v>headset</v>
      </c>
      <c r="N273" s="33">
        <f t="shared" si="14"/>
        <v>7</v>
      </c>
    </row>
    <row r="274" spans="1:14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33" t="str">
        <f t="shared" si="12"/>
        <v>KIRAN</v>
      </c>
      <c r="M274" s="33" t="str">
        <f t="shared" si="13"/>
        <v>keyboard</v>
      </c>
      <c r="N274" s="33">
        <f t="shared" si="14"/>
        <v>8</v>
      </c>
    </row>
    <row r="275" spans="1:14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33" t="str">
        <f t="shared" si="12"/>
        <v>VIKRAM</v>
      </c>
      <c r="M275" s="33" t="str">
        <f t="shared" si="13"/>
        <v>headset</v>
      </c>
      <c r="N275" s="33">
        <f t="shared" si="14"/>
        <v>7</v>
      </c>
    </row>
    <row r="276" spans="1:14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33" t="str">
        <f t="shared" si="12"/>
        <v>POOJA</v>
      </c>
      <c r="M276" s="33" t="str">
        <f t="shared" si="13"/>
        <v>marker</v>
      </c>
      <c r="N276" s="33">
        <f t="shared" si="14"/>
        <v>6</v>
      </c>
    </row>
    <row r="277" spans="1:14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33" t="str">
        <f t="shared" si="12"/>
        <v>DEEPAK</v>
      </c>
      <c r="M277" s="33" t="str">
        <f t="shared" si="13"/>
        <v>desk</v>
      </c>
      <c r="N277" s="33">
        <f t="shared" si="14"/>
        <v>4</v>
      </c>
    </row>
    <row r="278" spans="1:14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33" t="str">
        <f t="shared" si="12"/>
        <v>ANITA</v>
      </c>
      <c r="M278" s="33" t="str">
        <f t="shared" si="13"/>
        <v>stapler</v>
      </c>
      <c r="N278" s="33">
        <f t="shared" si="14"/>
        <v>7</v>
      </c>
    </row>
    <row r="279" spans="1:14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33" t="str">
        <f t="shared" si="12"/>
        <v>YASH</v>
      </c>
      <c r="M279" s="33" t="str">
        <f t="shared" si="13"/>
        <v>mouse</v>
      </c>
      <c r="N279" s="33">
        <f t="shared" si="14"/>
        <v>5</v>
      </c>
    </row>
    <row r="280" spans="1:14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33" t="str">
        <f t="shared" si="12"/>
        <v>SNEHA</v>
      </c>
      <c r="M280" s="33" t="str">
        <f t="shared" si="13"/>
        <v>monitor</v>
      </c>
      <c r="N280" s="33">
        <f t="shared" si="14"/>
        <v>7</v>
      </c>
    </row>
    <row r="281" spans="1:14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33" t="str">
        <f t="shared" si="12"/>
        <v>ANITA</v>
      </c>
      <c r="M281" s="33" t="str">
        <f t="shared" si="13"/>
        <v>diary</v>
      </c>
      <c r="N281" s="33">
        <f t="shared" si="14"/>
        <v>5</v>
      </c>
    </row>
    <row r="282" spans="1:14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33" t="str">
        <f t="shared" si="12"/>
        <v>SNEHA</v>
      </c>
      <c r="M282" s="33" t="str">
        <f t="shared" si="13"/>
        <v>marker</v>
      </c>
      <c r="N282" s="33">
        <f t="shared" si="14"/>
        <v>6</v>
      </c>
    </row>
    <row r="283" spans="1:14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33" t="str">
        <f t="shared" si="12"/>
        <v>SARA</v>
      </c>
      <c r="M283" s="33" t="str">
        <f t="shared" si="13"/>
        <v>bookshelf</v>
      </c>
      <c r="N283" s="33">
        <f t="shared" si="14"/>
        <v>9</v>
      </c>
    </row>
    <row r="284" spans="1:14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33" t="str">
        <f t="shared" si="12"/>
        <v>DEEPAK</v>
      </c>
      <c r="M284" s="33" t="str">
        <f t="shared" si="13"/>
        <v>table</v>
      </c>
      <c r="N284" s="33">
        <f t="shared" si="14"/>
        <v>5</v>
      </c>
    </row>
    <row r="285" spans="1:14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33" t="str">
        <f t="shared" si="12"/>
        <v>DEEPAK</v>
      </c>
      <c r="M285" s="33" t="str">
        <f t="shared" si="13"/>
        <v>pen pack</v>
      </c>
      <c r="N285" s="33">
        <f t="shared" si="14"/>
        <v>8</v>
      </c>
    </row>
    <row r="286" spans="1:14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33" t="str">
        <f t="shared" si="12"/>
        <v>ASHA</v>
      </c>
      <c r="M286" s="33" t="str">
        <f t="shared" si="13"/>
        <v>stapler</v>
      </c>
      <c r="N286" s="33">
        <f t="shared" si="14"/>
        <v>7</v>
      </c>
    </row>
    <row r="287" spans="1:14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33" t="str">
        <f t="shared" si="12"/>
        <v>KIRAN</v>
      </c>
      <c r="M287" s="33" t="str">
        <f t="shared" si="13"/>
        <v>cabinet</v>
      </c>
      <c r="N287" s="33">
        <f t="shared" si="14"/>
        <v>7</v>
      </c>
    </row>
    <row r="288" spans="1:14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33" t="str">
        <f t="shared" si="12"/>
        <v>ANITA</v>
      </c>
      <c r="M288" s="33" t="str">
        <f t="shared" si="13"/>
        <v>notebook</v>
      </c>
      <c r="N288" s="33">
        <f t="shared" si="14"/>
        <v>8</v>
      </c>
    </row>
    <row r="289" spans="1:14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33" t="str">
        <f t="shared" si="12"/>
        <v>MANOJ</v>
      </c>
      <c r="M289" s="33" t="str">
        <f t="shared" si="13"/>
        <v>laptop</v>
      </c>
      <c r="N289" s="33">
        <f t="shared" si="14"/>
        <v>6</v>
      </c>
    </row>
    <row r="290" spans="1:14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33" t="str">
        <f t="shared" si="12"/>
        <v>VIKRAM</v>
      </c>
      <c r="M290" s="33" t="str">
        <f t="shared" si="13"/>
        <v>monitor</v>
      </c>
      <c r="N290" s="33">
        <f t="shared" si="14"/>
        <v>7</v>
      </c>
    </row>
    <row r="291" spans="1:14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33" t="str">
        <f t="shared" si="12"/>
        <v>VIKRAM</v>
      </c>
      <c r="M291" s="33" t="str">
        <f t="shared" si="13"/>
        <v>printer</v>
      </c>
      <c r="N291" s="33">
        <f t="shared" si="14"/>
        <v>7</v>
      </c>
    </row>
    <row r="292" spans="1:14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33" t="str">
        <f t="shared" si="12"/>
        <v>MEERA</v>
      </c>
      <c r="M292" s="33" t="str">
        <f t="shared" si="13"/>
        <v>stapler</v>
      </c>
      <c r="N292" s="33">
        <f t="shared" si="14"/>
        <v>7</v>
      </c>
    </row>
    <row r="293" spans="1:14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33" t="str">
        <f t="shared" si="12"/>
        <v>MANOJ</v>
      </c>
      <c r="M293" s="33" t="str">
        <f t="shared" si="13"/>
        <v>mouse</v>
      </c>
      <c r="N293" s="33">
        <f t="shared" si="14"/>
        <v>5</v>
      </c>
    </row>
    <row r="294" spans="1:14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33" t="str">
        <f t="shared" si="12"/>
        <v>AJAY</v>
      </c>
      <c r="M294" s="33" t="str">
        <f t="shared" si="13"/>
        <v>table</v>
      </c>
      <c r="N294" s="33">
        <f t="shared" si="14"/>
        <v>5</v>
      </c>
    </row>
    <row r="295" spans="1:14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33" t="str">
        <f t="shared" si="12"/>
        <v>MEERA</v>
      </c>
      <c r="M295" s="33" t="str">
        <f t="shared" si="13"/>
        <v>desk</v>
      </c>
      <c r="N295" s="33">
        <f t="shared" si="14"/>
        <v>4</v>
      </c>
    </row>
    <row r="296" spans="1:14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33" t="str">
        <f t="shared" si="12"/>
        <v>KOMAL</v>
      </c>
      <c r="M296" s="33" t="str">
        <f t="shared" si="13"/>
        <v>chair</v>
      </c>
      <c r="N296" s="33">
        <f t="shared" si="14"/>
        <v>5</v>
      </c>
    </row>
    <row r="297" spans="1:14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33" t="str">
        <f t="shared" si="12"/>
        <v>VIKRAM</v>
      </c>
      <c r="M297" s="33" t="str">
        <f t="shared" si="13"/>
        <v>marker</v>
      </c>
      <c r="N297" s="33">
        <f t="shared" si="14"/>
        <v>6</v>
      </c>
    </row>
    <row r="298" spans="1:14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33" t="str">
        <f t="shared" si="12"/>
        <v>MANOJ</v>
      </c>
      <c r="M298" s="33" t="str">
        <f t="shared" si="13"/>
        <v>printer</v>
      </c>
      <c r="N298" s="33">
        <f t="shared" si="14"/>
        <v>7</v>
      </c>
    </row>
    <row r="299" spans="1:14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33" t="str">
        <f t="shared" si="12"/>
        <v>MEERA</v>
      </c>
      <c r="M299" s="33" t="str">
        <f t="shared" si="13"/>
        <v>mouse</v>
      </c>
      <c r="N299" s="33">
        <f t="shared" si="14"/>
        <v>5</v>
      </c>
    </row>
    <row r="300" spans="1:14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33" t="str">
        <f t="shared" si="12"/>
        <v>VIKRAM</v>
      </c>
      <c r="M300" s="33" t="str">
        <f t="shared" si="13"/>
        <v>cabinet</v>
      </c>
      <c r="N300" s="33">
        <f t="shared" si="14"/>
        <v>7</v>
      </c>
    </row>
    <row r="301" spans="1:14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33" t="str">
        <f t="shared" si="12"/>
        <v>YASH</v>
      </c>
      <c r="M301" s="33" t="str">
        <f t="shared" si="13"/>
        <v>monitor</v>
      </c>
      <c r="N301" s="33">
        <f t="shared" si="14"/>
        <v>7</v>
      </c>
    </row>
    <row r="302" spans="1:14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33" t="str">
        <f t="shared" si="12"/>
        <v>MANOJ</v>
      </c>
      <c r="M302" s="33" t="str">
        <f t="shared" si="13"/>
        <v>chair</v>
      </c>
      <c r="N302" s="33">
        <f t="shared" si="14"/>
        <v>5</v>
      </c>
    </row>
    <row r="303" spans="1:14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33" t="str">
        <f t="shared" si="12"/>
        <v>SARA</v>
      </c>
      <c r="M303" s="33" t="str">
        <f t="shared" si="13"/>
        <v>printer</v>
      </c>
      <c r="N303" s="33">
        <f t="shared" si="14"/>
        <v>7</v>
      </c>
    </row>
    <row r="304" spans="1:14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33" t="str">
        <f t="shared" si="12"/>
        <v>SARA</v>
      </c>
      <c r="M304" s="33" t="str">
        <f t="shared" si="13"/>
        <v>printer</v>
      </c>
      <c r="N304" s="33">
        <f t="shared" si="14"/>
        <v>7</v>
      </c>
    </row>
    <row r="305" spans="1:14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33" t="str">
        <f t="shared" si="12"/>
        <v>ANITA</v>
      </c>
      <c r="M305" s="33" t="str">
        <f t="shared" si="13"/>
        <v>stapler</v>
      </c>
      <c r="N305" s="33">
        <f t="shared" si="14"/>
        <v>7</v>
      </c>
    </row>
    <row r="306" spans="1:14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33" t="str">
        <f t="shared" si="12"/>
        <v>ROHAN</v>
      </c>
      <c r="M306" s="33" t="str">
        <f t="shared" si="13"/>
        <v>laptop</v>
      </c>
      <c r="N306" s="33">
        <f t="shared" si="14"/>
        <v>6</v>
      </c>
    </row>
    <row r="307" spans="1:14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33" t="str">
        <f t="shared" si="12"/>
        <v>MANOJ</v>
      </c>
      <c r="M307" s="33" t="str">
        <f t="shared" si="13"/>
        <v>stapler</v>
      </c>
      <c r="N307" s="33">
        <f t="shared" si="14"/>
        <v>7</v>
      </c>
    </row>
    <row r="308" spans="1:14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33" t="str">
        <f t="shared" si="12"/>
        <v>SARA</v>
      </c>
      <c r="M308" s="33" t="str">
        <f t="shared" si="13"/>
        <v>printer</v>
      </c>
      <c r="N308" s="33">
        <f t="shared" si="14"/>
        <v>7</v>
      </c>
    </row>
    <row r="309" spans="1:14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33" t="str">
        <f t="shared" si="12"/>
        <v>NEHA</v>
      </c>
      <c r="M309" s="33" t="str">
        <f t="shared" si="13"/>
        <v>headset</v>
      </c>
      <c r="N309" s="33">
        <f t="shared" si="14"/>
        <v>7</v>
      </c>
    </row>
    <row r="310" spans="1:14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33" t="str">
        <f t="shared" si="12"/>
        <v>PRIYA</v>
      </c>
      <c r="M310" s="33" t="str">
        <f t="shared" si="13"/>
        <v>marker</v>
      </c>
      <c r="N310" s="33">
        <f t="shared" si="14"/>
        <v>6</v>
      </c>
    </row>
    <row r="311" spans="1:14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33" t="str">
        <f t="shared" si="12"/>
        <v>AJAY</v>
      </c>
      <c r="M311" s="33" t="str">
        <f t="shared" si="13"/>
        <v>cabinet</v>
      </c>
      <c r="N311" s="33">
        <f t="shared" si="14"/>
        <v>7</v>
      </c>
    </row>
    <row r="312" spans="1:14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33" t="str">
        <f t="shared" si="12"/>
        <v>SNEHA</v>
      </c>
      <c r="M312" s="33" t="str">
        <f t="shared" si="13"/>
        <v>notebook</v>
      </c>
      <c r="N312" s="33">
        <f t="shared" si="14"/>
        <v>8</v>
      </c>
    </row>
    <row r="313" spans="1:14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33" t="str">
        <f t="shared" si="12"/>
        <v>SARA</v>
      </c>
      <c r="M313" s="33" t="str">
        <f t="shared" si="13"/>
        <v>cabinet</v>
      </c>
      <c r="N313" s="33">
        <f t="shared" si="14"/>
        <v>7</v>
      </c>
    </row>
    <row r="314" spans="1:14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33" t="str">
        <f t="shared" si="12"/>
        <v>ANITA</v>
      </c>
      <c r="M314" s="33" t="str">
        <f t="shared" si="13"/>
        <v>cabinet</v>
      </c>
      <c r="N314" s="33">
        <f t="shared" si="14"/>
        <v>7</v>
      </c>
    </row>
    <row r="315" spans="1:14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33" t="str">
        <f t="shared" si="12"/>
        <v>KOMAL</v>
      </c>
      <c r="M315" s="33" t="str">
        <f t="shared" si="13"/>
        <v>desk</v>
      </c>
      <c r="N315" s="33">
        <f t="shared" si="14"/>
        <v>4</v>
      </c>
    </row>
    <row r="316" spans="1:14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33" t="str">
        <f t="shared" si="12"/>
        <v>AJAY</v>
      </c>
      <c r="M316" s="33" t="str">
        <f t="shared" si="13"/>
        <v>headset</v>
      </c>
      <c r="N316" s="33">
        <f t="shared" si="14"/>
        <v>7</v>
      </c>
    </row>
    <row r="317" spans="1:14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33" t="str">
        <f t="shared" si="12"/>
        <v>KIRAN</v>
      </c>
      <c r="M317" s="33" t="str">
        <f t="shared" si="13"/>
        <v>chair</v>
      </c>
      <c r="N317" s="33">
        <f t="shared" si="14"/>
        <v>5</v>
      </c>
    </row>
    <row r="318" spans="1:14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33" t="str">
        <f t="shared" si="12"/>
        <v>ANITA</v>
      </c>
      <c r="M318" s="33" t="str">
        <f t="shared" si="13"/>
        <v>headset</v>
      </c>
      <c r="N318" s="33">
        <f t="shared" si="14"/>
        <v>7</v>
      </c>
    </row>
    <row r="319" spans="1:14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33" t="str">
        <f t="shared" si="12"/>
        <v>RITESH</v>
      </c>
      <c r="M319" s="33" t="str">
        <f t="shared" si="13"/>
        <v>marker</v>
      </c>
      <c r="N319" s="33">
        <f t="shared" si="14"/>
        <v>6</v>
      </c>
    </row>
    <row r="320" spans="1:14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33" t="str">
        <f t="shared" si="12"/>
        <v>MEERA</v>
      </c>
      <c r="M320" s="33" t="str">
        <f t="shared" si="13"/>
        <v>mouse</v>
      </c>
      <c r="N320" s="33">
        <f t="shared" si="14"/>
        <v>5</v>
      </c>
    </row>
    <row r="321" spans="1:14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33" t="str">
        <f t="shared" si="12"/>
        <v>YASH</v>
      </c>
      <c r="M321" s="33" t="str">
        <f t="shared" si="13"/>
        <v>stapler</v>
      </c>
      <c r="N321" s="33">
        <f t="shared" si="14"/>
        <v>7</v>
      </c>
    </row>
    <row r="322" spans="1:14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33" t="str">
        <f t="shared" si="12"/>
        <v>ASHA</v>
      </c>
      <c r="M322" s="33" t="str">
        <f t="shared" si="13"/>
        <v>desk</v>
      </c>
      <c r="N322" s="33">
        <f t="shared" si="14"/>
        <v>4</v>
      </c>
    </row>
    <row r="323" spans="1:14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33" t="str">
        <f t="shared" ref="L323:L386" si="15">UPPER(B323)</f>
        <v>ARJUN</v>
      </c>
      <c r="M323" s="33" t="str">
        <f t="shared" ref="M323:M386" si="16">LOWER(E323)</f>
        <v>table</v>
      </c>
      <c r="N323" s="33">
        <f t="shared" ref="N323:N386" si="17">LEN(E323)</f>
        <v>5</v>
      </c>
    </row>
    <row r="324" spans="1:14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33" t="str">
        <f t="shared" si="15"/>
        <v>SARA</v>
      </c>
      <c r="M324" s="33" t="str">
        <f t="shared" si="16"/>
        <v>mouse</v>
      </c>
      <c r="N324" s="33">
        <f t="shared" si="17"/>
        <v>5</v>
      </c>
    </row>
    <row r="325" spans="1:14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33" t="str">
        <f t="shared" si="15"/>
        <v>ASHA</v>
      </c>
      <c r="M325" s="33" t="str">
        <f t="shared" si="16"/>
        <v>desk</v>
      </c>
      <c r="N325" s="33">
        <f t="shared" si="17"/>
        <v>4</v>
      </c>
    </row>
    <row r="326" spans="1:14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33" t="str">
        <f t="shared" si="15"/>
        <v>NITIN</v>
      </c>
      <c r="M326" s="33" t="str">
        <f t="shared" si="16"/>
        <v>keyboard</v>
      </c>
      <c r="N326" s="33">
        <f t="shared" si="17"/>
        <v>8</v>
      </c>
    </row>
    <row r="327" spans="1:14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33" t="str">
        <f t="shared" si="15"/>
        <v>VIKRAM</v>
      </c>
      <c r="M327" s="33" t="str">
        <f t="shared" si="16"/>
        <v>bookshelf</v>
      </c>
      <c r="N327" s="33">
        <f t="shared" si="17"/>
        <v>9</v>
      </c>
    </row>
    <row r="328" spans="1:14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33" t="str">
        <f t="shared" si="15"/>
        <v>NITIN</v>
      </c>
      <c r="M328" s="33" t="str">
        <f t="shared" si="16"/>
        <v>diary</v>
      </c>
      <c r="N328" s="33">
        <f t="shared" si="17"/>
        <v>5</v>
      </c>
    </row>
    <row r="329" spans="1:14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33" t="str">
        <f t="shared" si="15"/>
        <v>POOJA</v>
      </c>
      <c r="M329" s="33" t="str">
        <f t="shared" si="16"/>
        <v>stapler</v>
      </c>
      <c r="N329" s="33">
        <f t="shared" si="17"/>
        <v>7</v>
      </c>
    </row>
    <row r="330" spans="1:14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33" t="str">
        <f t="shared" si="15"/>
        <v>NEHA</v>
      </c>
      <c r="M330" s="33" t="str">
        <f t="shared" si="16"/>
        <v>diary</v>
      </c>
      <c r="N330" s="33">
        <f t="shared" si="17"/>
        <v>5</v>
      </c>
    </row>
    <row r="331" spans="1:14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33" t="str">
        <f t="shared" si="15"/>
        <v>AJAY</v>
      </c>
      <c r="M331" s="33" t="str">
        <f t="shared" si="16"/>
        <v>desk</v>
      </c>
      <c r="N331" s="33">
        <f t="shared" si="17"/>
        <v>4</v>
      </c>
    </row>
    <row r="332" spans="1:14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33" t="str">
        <f t="shared" si="15"/>
        <v>MEERA</v>
      </c>
      <c r="M332" s="33" t="str">
        <f t="shared" si="16"/>
        <v>mouse</v>
      </c>
      <c r="N332" s="33">
        <f t="shared" si="17"/>
        <v>5</v>
      </c>
    </row>
    <row r="333" spans="1:14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33" t="str">
        <f t="shared" si="15"/>
        <v>PRIYA</v>
      </c>
      <c r="M333" s="33" t="str">
        <f t="shared" si="16"/>
        <v>marker</v>
      </c>
      <c r="N333" s="33">
        <f t="shared" si="17"/>
        <v>6</v>
      </c>
    </row>
    <row r="334" spans="1:14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33" t="str">
        <f t="shared" si="15"/>
        <v>PRIYA</v>
      </c>
      <c r="M334" s="33" t="str">
        <f t="shared" si="16"/>
        <v>diary</v>
      </c>
      <c r="N334" s="33">
        <f t="shared" si="17"/>
        <v>5</v>
      </c>
    </row>
    <row r="335" spans="1:14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33" t="str">
        <f t="shared" si="15"/>
        <v>DEEPAK</v>
      </c>
      <c r="M335" s="33" t="str">
        <f t="shared" si="16"/>
        <v>headset</v>
      </c>
      <c r="N335" s="33">
        <f t="shared" si="17"/>
        <v>7</v>
      </c>
    </row>
    <row r="336" spans="1:14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33" t="str">
        <f t="shared" si="15"/>
        <v>YASH</v>
      </c>
      <c r="M336" s="33" t="str">
        <f t="shared" si="16"/>
        <v>desk</v>
      </c>
      <c r="N336" s="33">
        <f t="shared" si="17"/>
        <v>4</v>
      </c>
    </row>
    <row r="337" spans="1:14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33" t="str">
        <f t="shared" si="15"/>
        <v>POOJA</v>
      </c>
      <c r="M337" s="33" t="str">
        <f t="shared" si="16"/>
        <v>cabinet</v>
      </c>
      <c r="N337" s="33">
        <f t="shared" si="17"/>
        <v>7</v>
      </c>
    </row>
    <row r="338" spans="1:14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33" t="str">
        <f t="shared" si="15"/>
        <v>POOJA</v>
      </c>
      <c r="M338" s="33" t="str">
        <f t="shared" si="16"/>
        <v>diary</v>
      </c>
      <c r="N338" s="33">
        <f t="shared" si="17"/>
        <v>5</v>
      </c>
    </row>
    <row r="339" spans="1:14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33" t="str">
        <f t="shared" si="15"/>
        <v>ANITA</v>
      </c>
      <c r="M339" s="33" t="str">
        <f t="shared" si="16"/>
        <v>laptop</v>
      </c>
      <c r="N339" s="33">
        <f t="shared" si="17"/>
        <v>6</v>
      </c>
    </row>
    <row r="340" spans="1:14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33" t="str">
        <f t="shared" si="15"/>
        <v>ASHA</v>
      </c>
      <c r="M340" s="33" t="str">
        <f t="shared" si="16"/>
        <v>notebook</v>
      </c>
      <c r="N340" s="33">
        <f t="shared" si="17"/>
        <v>8</v>
      </c>
    </row>
    <row r="341" spans="1:14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33" t="str">
        <f t="shared" si="15"/>
        <v>NITIN</v>
      </c>
      <c r="M341" s="33" t="str">
        <f t="shared" si="16"/>
        <v>desk</v>
      </c>
      <c r="N341" s="33">
        <f t="shared" si="17"/>
        <v>4</v>
      </c>
    </row>
    <row r="342" spans="1:14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33" t="str">
        <f t="shared" si="15"/>
        <v>SARA</v>
      </c>
      <c r="M342" s="33" t="str">
        <f t="shared" si="16"/>
        <v>desk</v>
      </c>
      <c r="N342" s="33">
        <f t="shared" si="17"/>
        <v>4</v>
      </c>
    </row>
    <row r="343" spans="1:14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33" t="str">
        <f t="shared" si="15"/>
        <v>ANITA</v>
      </c>
      <c r="M343" s="33" t="str">
        <f t="shared" si="16"/>
        <v>printer</v>
      </c>
      <c r="N343" s="33">
        <f t="shared" si="17"/>
        <v>7</v>
      </c>
    </row>
    <row r="344" spans="1:14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33" t="str">
        <f t="shared" si="15"/>
        <v>ANITA</v>
      </c>
      <c r="M344" s="33" t="str">
        <f t="shared" si="16"/>
        <v>keyboard</v>
      </c>
      <c r="N344" s="33">
        <f t="shared" si="17"/>
        <v>8</v>
      </c>
    </row>
    <row r="345" spans="1:14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33" t="str">
        <f t="shared" si="15"/>
        <v>NEHA</v>
      </c>
      <c r="M345" s="33" t="str">
        <f t="shared" si="16"/>
        <v>diary</v>
      </c>
      <c r="N345" s="33">
        <f t="shared" si="17"/>
        <v>5</v>
      </c>
    </row>
    <row r="346" spans="1:14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33" t="str">
        <f t="shared" si="15"/>
        <v>ASHA</v>
      </c>
      <c r="M346" s="33" t="str">
        <f t="shared" si="16"/>
        <v>monitor</v>
      </c>
      <c r="N346" s="33">
        <f t="shared" si="17"/>
        <v>7</v>
      </c>
    </row>
    <row r="347" spans="1:14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33" t="str">
        <f t="shared" si="15"/>
        <v>ASHA</v>
      </c>
      <c r="M347" s="33" t="str">
        <f t="shared" si="16"/>
        <v>desk</v>
      </c>
      <c r="N347" s="33">
        <f t="shared" si="17"/>
        <v>4</v>
      </c>
    </row>
    <row r="348" spans="1:14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33" t="str">
        <f t="shared" si="15"/>
        <v>PRIYA</v>
      </c>
      <c r="M348" s="33" t="str">
        <f t="shared" si="16"/>
        <v>printer</v>
      </c>
      <c r="N348" s="33">
        <f t="shared" si="17"/>
        <v>7</v>
      </c>
    </row>
    <row r="349" spans="1:14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33" t="str">
        <f t="shared" si="15"/>
        <v>RITESH</v>
      </c>
      <c r="M349" s="33" t="str">
        <f t="shared" si="16"/>
        <v>marker</v>
      </c>
      <c r="N349" s="33">
        <f t="shared" si="17"/>
        <v>6</v>
      </c>
    </row>
    <row r="350" spans="1:14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33" t="str">
        <f t="shared" si="15"/>
        <v>DEEPAK</v>
      </c>
      <c r="M350" s="33" t="str">
        <f t="shared" si="16"/>
        <v>printer</v>
      </c>
      <c r="N350" s="33">
        <f t="shared" si="17"/>
        <v>7</v>
      </c>
    </row>
    <row r="351" spans="1:14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33" t="str">
        <f t="shared" si="15"/>
        <v>VIKRAM</v>
      </c>
      <c r="M351" s="33" t="str">
        <f t="shared" si="16"/>
        <v>chair</v>
      </c>
      <c r="N351" s="33">
        <f t="shared" si="17"/>
        <v>5</v>
      </c>
    </row>
    <row r="352" spans="1:14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33" t="str">
        <f t="shared" si="15"/>
        <v>NISHA</v>
      </c>
      <c r="M352" s="33" t="str">
        <f t="shared" si="16"/>
        <v>monitor</v>
      </c>
      <c r="N352" s="33">
        <f t="shared" si="17"/>
        <v>7</v>
      </c>
    </row>
    <row r="353" spans="1:14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33" t="str">
        <f t="shared" si="15"/>
        <v>MANOJ</v>
      </c>
      <c r="M353" s="33" t="str">
        <f t="shared" si="16"/>
        <v>notebook</v>
      </c>
      <c r="N353" s="33">
        <f t="shared" si="17"/>
        <v>8</v>
      </c>
    </row>
    <row r="354" spans="1:14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33" t="str">
        <f t="shared" si="15"/>
        <v>YASH</v>
      </c>
      <c r="M354" s="33" t="str">
        <f t="shared" si="16"/>
        <v>notebook</v>
      </c>
      <c r="N354" s="33">
        <f t="shared" si="17"/>
        <v>8</v>
      </c>
    </row>
    <row r="355" spans="1:14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33" t="str">
        <f t="shared" si="15"/>
        <v>YASH</v>
      </c>
      <c r="M355" s="33" t="str">
        <f t="shared" si="16"/>
        <v>printer</v>
      </c>
      <c r="N355" s="33">
        <f t="shared" si="17"/>
        <v>7</v>
      </c>
    </row>
    <row r="356" spans="1:14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33" t="str">
        <f t="shared" si="15"/>
        <v>ARJUN</v>
      </c>
      <c r="M356" s="33" t="str">
        <f t="shared" si="16"/>
        <v>laptop</v>
      </c>
      <c r="N356" s="33">
        <f t="shared" si="17"/>
        <v>6</v>
      </c>
    </row>
    <row r="357" spans="1:14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33" t="str">
        <f t="shared" si="15"/>
        <v>VIKRAM</v>
      </c>
      <c r="M357" s="33" t="str">
        <f t="shared" si="16"/>
        <v>laptop</v>
      </c>
      <c r="N357" s="33">
        <f t="shared" si="17"/>
        <v>6</v>
      </c>
    </row>
    <row r="358" spans="1:14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33" t="str">
        <f t="shared" si="15"/>
        <v>ANITA</v>
      </c>
      <c r="M358" s="33" t="str">
        <f t="shared" si="16"/>
        <v>pen pack</v>
      </c>
      <c r="N358" s="33">
        <f t="shared" si="17"/>
        <v>8</v>
      </c>
    </row>
    <row r="359" spans="1:14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33" t="str">
        <f t="shared" si="15"/>
        <v>DEEPAK</v>
      </c>
      <c r="M359" s="33" t="str">
        <f t="shared" si="16"/>
        <v>desk</v>
      </c>
      <c r="N359" s="33">
        <f t="shared" si="17"/>
        <v>4</v>
      </c>
    </row>
    <row r="360" spans="1:14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33" t="str">
        <f t="shared" si="15"/>
        <v>MANOJ</v>
      </c>
      <c r="M360" s="33" t="str">
        <f t="shared" si="16"/>
        <v>mouse</v>
      </c>
      <c r="N360" s="33">
        <f t="shared" si="17"/>
        <v>5</v>
      </c>
    </row>
    <row r="361" spans="1:14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33" t="str">
        <f t="shared" si="15"/>
        <v>RITESH</v>
      </c>
      <c r="M361" s="33" t="str">
        <f t="shared" si="16"/>
        <v>table</v>
      </c>
      <c r="N361" s="33">
        <f t="shared" si="17"/>
        <v>5</v>
      </c>
    </row>
    <row r="362" spans="1:14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33" t="str">
        <f t="shared" si="15"/>
        <v>NISHA</v>
      </c>
      <c r="M362" s="33" t="str">
        <f t="shared" si="16"/>
        <v>table</v>
      </c>
      <c r="N362" s="33">
        <f t="shared" si="17"/>
        <v>5</v>
      </c>
    </row>
    <row r="363" spans="1:14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33" t="str">
        <f t="shared" si="15"/>
        <v>POOJA</v>
      </c>
      <c r="M363" s="33" t="str">
        <f t="shared" si="16"/>
        <v>chair</v>
      </c>
      <c r="N363" s="33">
        <f t="shared" si="17"/>
        <v>5</v>
      </c>
    </row>
    <row r="364" spans="1:14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33" t="str">
        <f t="shared" si="15"/>
        <v>ARJUN</v>
      </c>
      <c r="M364" s="33" t="str">
        <f t="shared" si="16"/>
        <v>printer</v>
      </c>
      <c r="N364" s="33">
        <f t="shared" si="17"/>
        <v>7</v>
      </c>
    </row>
    <row r="365" spans="1:14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33" t="str">
        <f t="shared" si="15"/>
        <v>NEHA</v>
      </c>
      <c r="M365" s="33" t="str">
        <f t="shared" si="16"/>
        <v>cabinet</v>
      </c>
      <c r="N365" s="33">
        <f t="shared" si="17"/>
        <v>7</v>
      </c>
    </row>
    <row r="366" spans="1:14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33" t="str">
        <f t="shared" si="15"/>
        <v>KIRAN</v>
      </c>
      <c r="M366" s="33" t="str">
        <f t="shared" si="16"/>
        <v>marker</v>
      </c>
      <c r="N366" s="33">
        <f t="shared" si="17"/>
        <v>6</v>
      </c>
    </row>
    <row r="367" spans="1:14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33" t="str">
        <f t="shared" si="15"/>
        <v>VIKRAM</v>
      </c>
      <c r="M367" s="33" t="str">
        <f t="shared" si="16"/>
        <v>mouse</v>
      </c>
      <c r="N367" s="33">
        <f t="shared" si="17"/>
        <v>5</v>
      </c>
    </row>
    <row r="368" spans="1:14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33" t="str">
        <f t="shared" si="15"/>
        <v>MANOJ</v>
      </c>
      <c r="M368" s="33" t="str">
        <f t="shared" si="16"/>
        <v>diary</v>
      </c>
      <c r="N368" s="33">
        <f t="shared" si="17"/>
        <v>5</v>
      </c>
    </row>
    <row r="369" spans="1:14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33" t="str">
        <f t="shared" si="15"/>
        <v>SNEHA</v>
      </c>
      <c r="M369" s="33" t="str">
        <f t="shared" si="16"/>
        <v>stapler</v>
      </c>
      <c r="N369" s="33">
        <f t="shared" si="17"/>
        <v>7</v>
      </c>
    </row>
    <row r="370" spans="1:14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33" t="str">
        <f t="shared" si="15"/>
        <v>SARA</v>
      </c>
      <c r="M370" s="33" t="str">
        <f t="shared" si="16"/>
        <v>desk</v>
      </c>
      <c r="N370" s="33">
        <f t="shared" si="17"/>
        <v>4</v>
      </c>
    </row>
    <row r="371" spans="1:14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33" t="str">
        <f t="shared" si="15"/>
        <v>ANITA</v>
      </c>
      <c r="M371" s="33" t="str">
        <f t="shared" si="16"/>
        <v>diary</v>
      </c>
      <c r="N371" s="33">
        <f t="shared" si="17"/>
        <v>5</v>
      </c>
    </row>
    <row r="372" spans="1:14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33" t="str">
        <f t="shared" si="15"/>
        <v>NITIN</v>
      </c>
      <c r="M372" s="33" t="str">
        <f t="shared" si="16"/>
        <v>desk</v>
      </c>
      <c r="N372" s="33">
        <f t="shared" si="17"/>
        <v>4</v>
      </c>
    </row>
    <row r="373" spans="1:14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33" t="str">
        <f t="shared" si="15"/>
        <v>NITIN</v>
      </c>
      <c r="M373" s="33" t="str">
        <f t="shared" si="16"/>
        <v>keyboard</v>
      </c>
      <c r="N373" s="33">
        <f t="shared" si="17"/>
        <v>8</v>
      </c>
    </row>
    <row r="374" spans="1:14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33" t="str">
        <f t="shared" si="15"/>
        <v>MANOJ</v>
      </c>
      <c r="M374" s="33" t="str">
        <f t="shared" si="16"/>
        <v>laptop</v>
      </c>
      <c r="N374" s="33">
        <f t="shared" si="17"/>
        <v>6</v>
      </c>
    </row>
    <row r="375" spans="1:14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33" t="str">
        <f t="shared" si="15"/>
        <v>SARA</v>
      </c>
      <c r="M375" s="33" t="str">
        <f t="shared" si="16"/>
        <v>printer</v>
      </c>
      <c r="N375" s="33">
        <f t="shared" si="17"/>
        <v>7</v>
      </c>
    </row>
    <row r="376" spans="1:14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33" t="str">
        <f t="shared" si="15"/>
        <v>KIRAN</v>
      </c>
      <c r="M376" s="33" t="str">
        <f t="shared" si="16"/>
        <v>monitor</v>
      </c>
      <c r="N376" s="33">
        <f t="shared" si="17"/>
        <v>7</v>
      </c>
    </row>
    <row r="377" spans="1:14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33" t="str">
        <f t="shared" si="15"/>
        <v>KOMAL</v>
      </c>
      <c r="M377" s="33" t="str">
        <f t="shared" si="16"/>
        <v>marker</v>
      </c>
      <c r="N377" s="33">
        <f t="shared" si="17"/>
        <v>6</v>
      </c>
    </row>
    <row r="378" spans="1:14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33" t="str">
        <f t="shared" si="15"/>
        <v>ASHA</v>
      </c>
      <c r="M378" s="33" t="str">
        <f t="shared" si="16"/>
        <v>desk</v>
      </c>
      <c r="N378" s="33">
        <f t="shared" si="17"/>
        <v>4</v>
      </c>
    </row>
    <row r="379" spans="1:14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33" t="str">
        <f t="shared" si="15"/>
        <v>SNEHA</v>
      </c>
      <c r="M379" s="33" t="str">
        <f t="shared" si="16"/>
        <v>monitor</v>
      </c>
      <c r="N379" s="33">
        <f t="shared" si="17"/>
        <v>7</v>
      </c>
    </row>
    <row r="380" spans="1:14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33" t="str">
        <f t="shared" si="15"/>
        <v>YASH</v>
      </c>
      <c r="M380" s="33" t="str">
        <f t="shared" si="16"/>
        <v>notebook</v>
      </c>
      <c r="N380" s="33">
        <f t="shared" si="17"/>
        <v>8</v>
      </c>
    </row>
    <row r="381" spans="1:14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33" t="str">
        <f t="shared" si="15"/>
        <v>KOMAL</v>
      </c>
      <c r="M381" s="33" t="str">
        <f t="shared" si="16"/>
        <v>diary</v>
      </c>
      <c r="N381" s="33">
        <f t="shared" si="17"/>
        <v>5</v>
      </c>
    </row>
    <row r="382" spans="1:14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33" t="str">
        <f t="shared" si="15"/>
        <v>SNEHA</v>
      </c>
      <c r="M382" s="33" t="str">
        <f t="shared" si="16"/>
        <v>chair</v>
      </c>
      <c r="N382" s="33">
        <f t="shared" si="17"/>
        <v>5</v>
      </c>
    </row>
    <row r="383" spans="1:14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33" t="str">
        <f t="shared" si="15"/>
        <v>AJAY</v>
      </c>
      <c r="M383" s="33" t="str">
        <f t="shared" si="16"/>
        <v>laptop</v>
      </c>
      <c r="N383" s="33">
        <f t="shared" si="17"/>
        <v>6</v>
      </c>
    </row>
    <row r="384" spans="1:14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33" t="str">
        <f t="shared" si="15"/>
        <v>ASHA</v>
      </c>
      <c r="M384" s="33" t="str">
        <f t="shared" si="16"/>
        <v>diary</v>
      </c>
      <c r="N384" s="33">
        <f t="shared" si="17"/>
        <v>5</v>
      </c>
    </row>
    <row r="385" spans="1:14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33" t="str">
        <f t="shared" si="15"/>
        <v>ANITA</v>
      </c>
      <c r="M385" s="33" t="str">
        <f t="shared" si="16"/>
        <v>keyboard</v>
      </c>
      <c r="N385" s="33">
        <f t="shared" si="17"/>
        <v>8</v>
      </c>
    </row>
    <row r="386" spans="1:14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33" t="str">
        <f t="shared" si="15"/>
        <v>VIKRAM</v>
      </c>
      <c r="M386" s="33" t="str">
        <f t="shared" si="16"/>
        <v>keyboard</v>
      </c>
      <c r="N386" s="33">
        <f t="shared" si="17"/>
        <v>8</v>
      </c>
    </row>
    <row r="387" spans="1:14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33" t="str">
        <f t="shared" ref="L387:L401" si="18">UPPER(B387)</f>
        <v>ARJUN</v>
      </c>
      <c r="M387" s="33" t="str">
        <f t="shared" ref="M387:M401" si="19">LOWER(E387)</f>
        <v>chair</v>
      </c>
      <c r="N387" s="33">
        <f t="shared" ref="N387:N401" si="20">LEN(E387)</f>
        <v>5</v>
      </c>
    </row>
    <row r="388" spans="1:14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33" t="str">
        <f t="shared" si="18"/>
        <v>MANOJ</v>
      </c>
      <c r="M388" s="33" t="str">
        <f t="shared" si="19"/>
        <v>printer</v>
      </c>
      <c r="N388" s="33">
        <f t="shared" si="20"/>
        <v>7</v>
      </c>
    </row>
    <row r="389" spans="1:14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33" t="str">
        <f t="shared" si="18"/>
        <v>SNEHA</v>
      </c>
      <c r="M389" s="33" t="str">
        <f t="shared" si="19"/>
        <v>chair</v>
      </c>
      <c r="N389" s="33">
        <f t="shared" si="20"/>
        <v>5</v>
      </c>
    </row>
    <row r="390" spans="1:14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33" t="str">
        <f t="shared" si="18"/>
        <v>ASHA</v>
      </c>
      <c r="M390" s="33" t="str">
        <f t="shared" si="19"/>
        <v>headset</v>
      </c>
      <c r="N390" s="33">
        <f t="shared" si="20"/>
        <v>7</v>
      </c>
    </row>
    <row r="391" spans="1:14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33" t="str">
        <f t="shared" si="18"/>
        <v>ROHAN</v>
      </c>
      <c r="M391" s="33" t="str">
        <f t="shared" si="19"/>
        <v>desk</v>
      </c>
      <c r="N391" s="33">
        <f t="shared" si="20"/>
        <v>4</v>
      </c>
    </row>
    <row r="392" spans="1:14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33" t="str">
        <f t="shared" si="18"/>
        <v>NEHA</v>
      </c>
      <c r="M392" s="33" t="str">
        <f t="shared" si="19"/>
        <v>printer</v>
      </c>
      <c r="N392" s="33">
        <f t="shared" si="20"/>
        <v>7</v>
      </c>
    </row>
    <row r="393" spans="1:14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33" t="str">
        <f t="shared" si="18"/>
        <v>PRIYA</v>
      </c>
      <c r="M393" s="33" t="str">
        <f t="shared" si="19"/>
        <v>printer</v>
      </c>
      <c r="N393" s="33">
        <f t="shared" si="20"/>
        <v>7</v>
      </c>
    </row>
    <row r="394" spans="1:14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33" t="str">
        <f t="shared" si="18"/>
        <v>NEHA</v>
      </c>
      <c r="M394" s="33" t="str">
        <f t="shared" si="19"/>
        <v>monitor</v>
      </c>
      <c r="N394" s="33">
        <f t="shared" si="20"/>
        <v>7</v>
      </c>
    </row>
    <row r="395" spans="1:14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33" t="str">
        <f t="shared" si="18"/>
        <v>MANOJ</v>
      </c>
      <c r="M395" s="33" t="str">
        <f t="shared" si="19"/>
        <v>notebook</v>
      </c>
      <c r="N395" s="33">
        <f t="shared" si="20"/>
        <v>8</v>
      </c>
    </row>
    <row r="396" spans="1:14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33" t="str">
        <f t="shared" si="18"/>
        <v>MANOJ</v>
      </c>
      <c r="M396" s="33" t="str">
        <f t="shared" si="19"/>
        <v>bookshelf</v>
      </c>
      <c r="N396" s="33">
        <f t="shared" si="20"/>
        <v>9</v>
      </c>
    </row>
    <row r="397" spans="1:14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33" t="str">
        <f t="shared" si="18"/>
        <v>MEERA</v>
      </c>
      <c r="M397" s="33" t="str">
        <f t="shared" si="19"/>
        <v>diary</v>
      </c>
      <c r="N397" s="33">
        <f t="shared" si="20"/>
        <v>5</v>
      </c>
    </row>
    <row r="398" spans="1:14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33" t="str">
        <f t="shared" si="18"/>
        <v>MEERA</v>
      </c>
      <c r="M398" s="33" t="str">
        <f t="shared" si="19"/>
        <v>table</v>
      </c>
      <c r="N398" s="33">
        <f t="shared" si="20"/>
        <v>5</v>
      </c>
    </row>
    <row r="399" spans="1:14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33" t="str">
        <f t="shared" si="18"/>
        <v>ROHAN</v>
      </c>
      <c r="M399" s="33" t="str">
        <f t="shared" si="19"/>
        <v>keyboard</v>
      </c>
      <c r="N399" s="33">
        <f t="shared" si="20"/>
        <v>8</v>
      </c>
    </row>
    <row r="400" spans="1:14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33" t="str">
        <f t="shared" si="18"/>
        <v>NITIN</v>
      </c>
      <c r="M400" s="33" t="str">
        <f t="shared" si="19"/>
        <v>notebook</v>
      </c>
      <c r="N400" s="33">
        <f t="shared" si="20"/>
        <v>8</v>
      </c>
    </row>
    <row r="401" spans="1:14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33" t="str">
        <f t="shared" si="18"/>
        <v>DEEPAK</v>
      </c>
      <c r="M401" s="33" t="str">
        <f t="shared" si="19"/>
        <v>printer</v>
      </c>
      <c r="N401" s="33">
        <f t="shared" si="20"/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1D1E-914B-46E7-AC8E-1D0CEFB19A3A}">
  <dimension ref="A1:P401"/>
  <sheetViews>
    <sheetView topLeftCell="D1" workbookViewId="0">
      <selection activeCell="S9" sqref="S9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6" bestFit="1" customWidth="1"/>
    <col min="13" max="13" width="22.21875" bestFit="1" customWidth="1"/>
    <col min="14" max="14" width="16.44140625" bestFit="1" customWidth="1"/>
    <col min="15" max="15" width="11" bestFit="1" customWidth="1"/>
    <col min="16" max="16" width="14.33203125" bestFit="1" customWidth="1"/>
  </cols>
  <sheetData>
    <row r="1" spans="1:16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23" t="s">
        <v>10</v>
      </c>
      <c r="L1" s="35" t="s">
        <v>79</v>
      </c>
      <c r="M1" s="35" t="s">
        <v>80</v>
      </c>
      <c r="N1" s="35" t="s">
        <v>81</v>
      </c>
      <c r="O1" s="35" t="s">
        <v>82</v>
      </c>
      <c r="P1" s="35" t="s">
        <v>83</v>
      </c>
    </row>
    <row r="2" spans="1:16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36">
        <f ca="1">TODAY()</f>
        <v>46304</v>
      </c>
      <c r="M2" s="37">
        <f ca="1">NOW()</f>
        <v>46304.551230092591</v>
      </c>
      <c r="N2" s="38">
        <f>(J2-I2)</f>
        <v>2</v>
      </c>
      <c r="O2" s="39">
        <f ca="1">(L2-I2)</f>
        <v>223</v>
      </c>
      <c r="P2" s="40">
        <f>DATE(2026,4,1)</f>
        <v>46113</v>
      </c>
    </row>
    <row r="3" spans="1:16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36">
        <f t="shared" ref="L3:L66" ca="1" si="0">TODAY()</f>
        <v>46304</v>
      </c>
      <c r="M3" s="37">
        <f t="shared" ref="M3:M66" ca="1" si="1">NOW()</f>
        <v>46304.551230092591</v>
      </c>
      <c r="N3" s="38">
        <f t="shared" ref="N3:N66" si="2">(J3-I3)</f>
        <v>5</v>
      </c>
      <c r="O3" s="39">
        <f t="shared" ref="O3:O66" ca="1" si="3">(L3-I3)</f>
        <v>130</v>
      </c>
      <c r="P3" s="40">
        <f t="shared" ref="P3:P66" si="4">DATE(2026,4,1)</f>
        <v>46113</v>
      </c>
    </row>
    <row r="4" spans="1:16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36">
        <f t="shared" ca="1" si="0"/>
        <v>46304</v>
      </c>
      <c r="M4" s="37">
        <f t="shared" ca="1" si="1"/>
        <v>46304.551230092591</v>
      </c>
      <c r="N4" s="38">
        <f t="shared" si="2"/>
        <v>9</v>
      </c>
      <c r="O4" s="39">
        <f t="shared" ca="1" si="3"/>
        <v>121</v>
      </c>
      <c r="P4" s="40">
        <f t="shared" si="4"/>
        <v>46113</v>
      </c>
    </row>
    <row r="5" spans="1:16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36">
        <f t="shared" ca="1" si="0"/>
        <v>46304</v>
      </c>
      <c r="M5" s="37">
        <f t="shared" ca="1" si="1"/>
        <v>46304.551230092591</v>
      </c>
      <c r="N5" s="38">
        <f t="shared" si="2"/>
        <v>6</v>
      </c>
      <c r="O5" s="39">
        <f ca="1">(L5-I5)</f>
        <v>270</v>
      </c>
      <c r="P5" s="40">
        <f t="shared" si="4"/>
        <v>46113</v>
      </c>
    </row>
    <row r="6" spans="1:16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36">
        <f t="shared" ca="1" si="0"/>
        <v>46304</v>
      </c>
      <c r="M6" s="37">
        <f t="shared" ca="1" si="1"/>
        <v>46304.551230092591</v>
      </c>
      <c r="N6" s="38">
        <f t="shared" si="2"/>
        <v>8</v>
      </c>
      <c r="O6" s="39">
        <f t="shared" ca="1" si="3"/>
        <v>133</v>
      </c>
      <c r="P6" s="40">
        <f t="shared" si="4"/>
        <v>46113</v>
      </c>
    </row>
    <row r="7" spans="1:16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36">
        <f t="shared" ca="1" si="0"/>
        <v>46304</v>
      </c>
      <c r="M7" s="37">
        <f t="shared" ca="1" si="1"/>
        <v>46304.551230092591</v>
      </c>
      <c r="N7" s="38">
        <f t="shared" si="2"/>
        <v>7</v>
      </c>
      <c r="O7" s="39">
        <f t="shared" ca="1" si="3"/>
        <v>249</v>
      </c>
      <c r="P7" s="40">
        <f t="shared" si="4"/>
        <v>46113</v>
      </c>
    </row>
    <row r="8" spans="1:16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36">
        <f t="shared" ca="1" si="0"/>
        <v>46304</v>
      </c>
      <c r="M8" s="37">
        <f t="shared" ca="1" si="1"/>
        <v>46304.551230092591</v>
      </c>
      <c r="N8" s="38">
        <f t="shared" si="2"/>
        <v>6</v>
      </c>
      <c r="O8" s="39">
        <f t="shared" ca="1" si="3"/>
        <v>142</v>
      </c>
      <c r="P8" s="40">
        <f t="shared" si="4"/>
        <v>46113</v>
      </c>
    </row>
    <row r="9" spans="1:16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36">
        <f t="shared" ca="1" si="0"/>
        <v>46304</v>
      </c>
      <c r="M9" s="37">
        <f t="shared" ca="1" si="1"/>
        <v>46304.551230092591</v>
      </c>
      <c r="N9" s="38">
        <f t="shared" si="2"/>
        <v>8</v>
      </c>
      <c r="O9" s="39">
        <f t="shared" ca="1" si="3"/>
        <v>271</v>
      </c>
      <c r="P9" s="40">
        <f t="shared" si="4"/>
        <v>46113</v>
      </c>
    </row>
    <row r="10" spans="1:16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36">
        <f t="shared" ca="1" si="0"/>
        <v>46304</v>
      </c>
      <c r="M10" s="37">
        <f t="shared" ca="1" si="1"/>
        <v>46304.551230092591</v>
      </c>
      <c r="N10" s="38">
        <f t="shared" si="2"/>
        <v>10</v>
      </c>
      <c r="O10" s="39">
        <f t="shared" ca="1" si="3"/>
        <v>121</v>
      </c>
      <c r="P10" s="40">
        <f t="shared" si="4"/>
        <v>46113</v>
      </c>
    </row>
    <row r="11" spans="1:16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36">
        <f t="shared" ca="1" si="0"/>
        <v>46304</v>
      </c>
      <c r="M11" s="37">
        <f t="shared" ca="1" si="1"/>
        <v>46304.551230092591</v>
      </c>
      <c r="N11" s="38">
        <f t="shared" si="2"/>
        <v>6</v>
      </c>
      <c r="O11" s="39">
        <f t="shared" ca="1" si="3"/>
        <v>242</v>
      </c>
      <c r="P11" s="40">
        <f t="shared" si="4"/>
        <v>46113</v>
      </c>
    </row>
    <row r="12" spans="1:16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36">
        <f t="shared" ca="1" si="0"/>
        <v>46304</v>
      </c>
      <c r="M12" s="37">
        <f t="shared" ca="1" si="1"/>
        <v>46304.551230092591</v>
      </c>
      <c r="N12" s="38">
        <f t="shared" si="2"/>
        <v>2</v>
      </c>
      <c r="O12" s="39">
        <f t="shared" ca="1" si="3"/>
        <v>143</v>
      </c>
      <c r="P12" s="40">
        <f t="shared" si="4"/>
        <v>46113</v>
      </c>
    </row>
    <row r="13" spans="1:16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36">
        <f t="shared" ca="1" si="0"/>
        <v>46304</v>
      </c>
      <c r="M13" s="37">
        <f t="shared" ca="1" si="1"/>
        <v>46304.551230092591</v>
      </c>
      <c r="N13" s="38">
        <f t="shared" si="2"/>
        <v>9</v>
      </c>
      <c r="O13" s="39">
        <f t="shared" ca="1" si="3"/>
        <v>218</v>
      </c>
      <c r="P13" s="40">
        <f t="shared" si="4"/>
        <v>46113</v>
      </c>
    </row>
    <row r="14" spans="1:16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36">
        <f t="shared" ca="1" si="0"/>
        <v>46304</v>
      </c>
      <c r="M14" s="37">
        <f t="shared" ca="1" si="1"/>
        <v>46304.551230092591</v>
      </c>
      <c r="N14" s="38">
        <f t="shared" si="2"/>
        <v>10</v>
      </c>
      <c r="O14" s="39">
        <f t="shared" ca="1" si="3"/>
        <v>209</v>
      </c>
      <c r="P14" s="40">
        <f t="shared" si="4"/>
        <v>46113</v>
      </c>
    </row>
    <row r="15" spans="1:16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36">
        <f t="shared" ca="1" si="0"/>
        <v>46304</v>
      </c>
      <c r="M15" s="37">
        <f t="shared" ca="1" si="1"/>
        <v>46304.551230092591</v>
      </c>
      <c r="N15" s="38">
        <f t="shared" si="2"/>
        <v>5</v>
      </c>
      <c r="O15" s="39">
        <f t="shared" ca="1" si="3"/>
        <v>175</v>
      </c>
      <c r="P15" s="40">
        <f t="shared" si="4"/>
        <v>46113</v>
      </c>
    </row>
    <row r="16" spans="1:16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36">
        <f t="shared" ca="1" si="0"/>
        <v>46304</v>
      </c>
      <c r="M16" s="37">
        <f t="shared" ca="1" si="1"/>
        <v>46304.551230092591</v>
      </c>
      <c r="N16" s="38">
        <f t="shared" si="2"/>
        <v>10</v>
      </c>
      <c r="O16" s="39">
        <f t="shared" ca="1" si="3"/>
        <v>129</v>
      </c>
      <c r="P16" s="40">
        <f t="shared" si="4"/>
        <v>46113</v>
      </c>
    </row>
    <row r="17" spans="1:16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36">
        <f t="shared" ca="1" si="0"/>
        <v>46304</v>
      </c>
      <c r="M17" s="37">
        <f t="shared" ca="1" si="1"/>
        <v>46304.551230092591</v>
      </c>
      <c r="N17" s="38">
        <f t="shared" si="2"/>
        <v>3</v>
      </c>
      <c r="O17" s="39">
        <f t="shared" ca="1" si="3"/>
        <v>167</v>
      </c>
      <c r="P17" s="40">
        <f t="shared" si="4"/>
        <v>46113</v>
      </c>
    </row>
    <row r="18" spans="1:16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36">
        <f t="shared" ca="1" si="0"/>
        <v>46304</v>
      </c>
      <c r="M18" s="37">
        <f t="shared" ca="1" si="1"/>
        <v>46304.551230092591</v>
      </c>
      <c r="N18" s="38">
        <f t="shared" si="2"/>
        <v>2</v>
      </c>
      <c r="O18" s="39">
        <f t="shared" ca="1" si="3"/>
        <v>222</v>
      </c>
      <c r="P18" s="40">
        <f t="shared" si="4"/>
        <v>46113</v>
      </c>
    </row>
    <row r="19" spans="1:16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36">
        <f t="shared" ca="1" si="0"/>
        <v>46304</v>
      </c>
      <c r="M19" s="37">
        <f t="shared" ca="1" si="1"/>
        <v>46304.551230092591</v>
      </c>
      <c r="N19" s="38">
        <f t="shared" si="2"/>
        <v>5</v>
      </c>
      <c r="O19" s="39">
        <f t="shared" ca="1" si="3"/>
        <v>215</v>
      </c>
      <c r="P19" s="40">
        <f t="shared" si="4"/>
        <v>46113</v>
      </c>
    </row>
    <row r="20" spans="1:16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36">
        <f t="shared" ca="1" si="0"/>
        <v>46304</v>
      </c>
      <c r="M20" s="37">
        <f t="shared" ca="1" si="1"/>
        <v>46304.551230092591</v>
      </c>
      <c r="N20" s="38">
        <f t="shared" si="2"/>
        <v>7</v>
      </c>
      <c r="O20" s="39">
        <f t="shared" ca="1" si="3"/>
        <v>281</v>
      </c>
      <c r="P20" s="40">
        <f t="shared" si="4"/>
        <v>46113</v>
      </c>
    </row>
    <row r="21" spans="1:16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36">
        <f t="shared" ca="1" si="0"/>
        <v>46304</v>
      </c>
      <c r="M21" s="37">
        <f t="shared" ca="1" si="1"/>
        <v>46304.551230092591</v>
      </c>
      <c r="N21" s="38">
        <f t="shared" si="2"/>
        <v>5</v>
      </c>
      <c r="O21" s="39">
        <f t="shared" ca="1" si="3"/>
        <v>226</v>
      </c>
      <c r="P21" s="40">
        <f t="shared" si="4"/>
        <v>46113</v>
      </c>
    </row>
    <row r="22" spans="1:16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36">
        <f t="shared" ca="1" si="0"/>
        <v>46304</v>
      </c>
      <c r="M22" s="37">
        <f t="shared" ca="1" si="1"/>
        <v>46304.551230092591</v>
      </c>
      <c r="N22" s="38">
        <f t="shared" si="2"/>
        <v>4</v>
      </c>
      <c r="O22" s="39">
        <f t="shared" ca="1" si="3"/>
        <v>160</v>
      </c>
      <c r="P22" s="40">
        <f t="shared" si="4"/>
        <v>46113</v>
      </c>
    </row>
    <row r="23" spans="1:16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36">
        <f t="shared" ca="1" si="0"/>
        <v>46304</v>
      </c>
      <c r="M23" s="37">
        <f t="shared" ca="1" si="1"/>
        <v>46304.551230092591</v>
      </c>
      <c r="N23" s="38">
        <f t="shared" si="2"/>
        <v>4</v>
      </c>
      <c r="O23" s="39">
        <f t="shared" ca="1" si="3"/>
        <v>187</v>
      </c>
      <c r="P23" s="40">
        <f t="shared" si="4"/>
        <v>46113</v>
      </c>
    </row>
    <row r="24" spans="1:16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36">
        <f t="shared" ca="1" si="0"/>
        <v>46304</v>
      </c>
      <c r="M24" s="37">
        <f t="shared" ca="1" si="1"/>
        <v>46304.551230092591</v>
      </c>
      <c r="N24" s="38">
        <f t="shared" si="2"/>
        <v>1</v>
      </c>
      <c r="O24" s="39">
        <f t="shared" ca="1" si="3"/>
        <v>111</v>
      </c>
      <c r="P24" s="40">
        <f t="shared" si="4"/>
        <v>46113</v>
      </c>
    </row>
    <row r="25" spans="1:16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36">
        <f t="shared" ca="1" si="0"/>
        <v>46304</v>
      </c>
      <c r="M25" s="37">
        <f t="shared" ca="1" si="1"/>
        <v>46304.551230092591</v>
      </c>
      <c r="N25" s="38">
        <f t="shared" si="2"/>
        <v>4</v>
      </c>
      <c r="O25" s="39">
        <f t="shared" ca="1" si="3"/>
        <v>143</v>
      </c>
      <c r="P25" s="40">
        <f t="shared" si="4"/>
        <v>46113</v>
      </c>
    </row>
    <row r="26" spans="1:16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36">
        <f t="shared" ca="1" si="0"/>
        <v>46304</v>
      </c>
      <c r="M26" s="37">
        <f t="shared" ca="1" si="1"/>
        <v>46304.551230092591</v>
      </c>
      <c r="N26" s="38">
        <f t="shared" si="2"/>
        <v>6</v>
      </c>
      <c r="O26" s="39">
        <f t="shared" ca="1" si="3"/>
        <v>129</v>
      </c>
      <c r="P26" s="40">
        <f t="shared" si="4"/>
        <v>46113</v>
      </c>
    </row>
    <row r="27" spans="1:16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36">
        <f t="shared" ca="1" si="0"/>
        <v>46304</v>
      </c>
      <c r="M27" s="37">
        <f t="shared" ca="1" si="1"/>
        <v>46304.551230092591</v>
      </c>
      <c r="N27" s="38">
        <f t="shared" si="2"/>
        <v>1</v>
      </c>
      <c r="O27" s="39">
        <f t="shared" ca="1" si="3"/>
        <v>265</v>
      </c>
      <c r="P27" s="40">
        <f t="shared" si="4"/>
        <v>46113</v>
      </c>
    </row>
    <row r="28" spans="1:16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36">
        <f t="shared" ca="1" si="0"/>
        <v>46304</v>
      </c>
      <c r="M28" s="37">
        <f t="shared" ca="1" si="1"/>
        <v>46304.551230092591</v>
      </c>
      <c r="N28" s="38">
        <f t="shared" si="2"/>
        <v>6</v>
      </c>
      <c r="O28" s="39">
        <f t="shared" ca="1" si="3"/>
        <v>149</v>
      </c>
      <c r="P28" s="40">
        <f t="shared" si="4"/>
        <v>46113</v>
      </c>
    </row>
    <row r="29" spans="1:16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36">
        <f t="shared" ca="1" si="0"/>
        <v>46304</v>
      </c>
      <c r="M29" s="37">
        <f t="shared" ca="1" si="1"/>
        <v>46304.551230092591</v>
      </c>
      <c r="N29" s="38">
        <f t="shared" si="2"/>
        <v>5</v>
      </c>
      <c r="O29" s="39">
        <f t="shared" ca="1" si="3"/>
        <v>188</v>
      </c>
      <c r="P29" s="40">
        <f t="shared" si="4"/>
        <v>46113</v>
      </c>
    </row>
    <row r="30" spans="1:16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36">
        <f t="shared" ca="1" si="0"/>
        <v>46304</v>
      </c>
      <c r="M30" s="37">
        <f t="shared" ca="1" si="1"/>
        <v>46304.551230092591</v>
      </c>
      <c r="N30" s="38">
        <f t="shared" si="2"/>
        <v>8</v>
      </c>
      <c r="O30" s="39">
        <f t="shared" ca="1" si="3"/>
        <v>258</v>
      </c>
      <c r="P30" s="40">
        <f t="shared" si="4"/>
        <v>46113</v>
      </c>
    </row>
    <row r="31" spans="1:16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36">
        <f t="shared" ca="1" si="0"/>
        <v>46304</v>
      </c>
      <c r="M31" s="37">
        <f t="shared" ca="1" si="1"/>
        <v>46304.551230092591</v>
      </c>
      <c r="N31" s="38">
        <f t="shared" si="2"/>
        <v>10</v>
      </c>
      <c r="O31" s="39">
        <f t="shared" ca="1" si="3"/>
        <v>206</v>
      </c>
      <c r="P31" s="40">
        <f t="shared" si="4"/>
        <v>46113</v>
      </c>
    </row>
    <row r="32" spans="1:16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36">
        <f t="shared" ca="1" si="0"/>
        <v>46304</v>
      </c>
      <c r="M32" s="37">
        <f t="shared" ca="1" si="1"/>
        <v>46304.551230092591</v>
      </c>
      <c r="N32" s="38">
        <f t="shared" si="2"/>
        <v>4</v>
      </c>
      <c r="O32" s="39">
        <f t="shared" ca="1" si="3"/>
        <v>215</v>
      </c>
      <c r="P32" s="40">
        <f t="shared" si="4"/>
        <v>46113</v>
      </c>
    </row>
    <row r="33" spans="1:16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36">
        <f t="shared" ca="1" si="0"/>
        <v>46304</v>
      </c>
      <c r="M33" s="37">
        <f t="shared" ca="1" si="1"/>
        <v>46304.551230092591</v>
      </c>
      <c r="N33" s="38">
        <f t="shared" si="2"/>
        <v>2</v>
      </c>
      <c r="O33" s="39">
        <f t="shared" ca="1" si="3"/>
        <v>141</v>
      </c>
      <c r="P33" s="40">
        <f t="shared" si="4"/>
        <v>46113</v>
      </c>
    </row>
    <row r="34" spans="1:16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36">
        <f t="shared" ca="1" si="0"/>
        <v>46304</v>
      </c>
      <c r="M34" s="37">
        <f t="shared" ca="1" si="1"/>
        <v>46304.551230092591</v>
      </c>
      <c r="N34" s="38">
        <f t="shared" si="2"/>
        <v>2</v>
      </c>
      <c r="O34" s="39">
        <f t="shared" ca="1" si="3"/>
        <v>222</v>
      </c>
      <c r="P34" s="40">
        <f t="shared" si="4"/>
        <v>46113</v>
      </c>
    </row>
    <row r="35" spans="1:16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36">
        <f t="shared" ca="1" si="0"/>
        <v>46304</v>
      </c>
      <c r="M35" s="37">
        <f t="shared" ca="1" si="1"/>
        <v>46304.551230092591</v>
      </c>
      <c r="N35" s="38">
        <f t="shared" si="2"/>
        <v>9</v>
      </c>
      <c r="O35" s="39">
        <f t="shared" ca="1" si="3"/>
        <v>252</v>
      </c>
      <c r="P35" s="40">
        <f t="shared" si="4"/>
        <v>46113</v>
      </c>
    </row>
    <row r="36" spans="1:16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36">
        <f t="shared" ca="1" si="0"/>
        <v>46304</v>
      </c>
      <c r="M36" s="37">
        <f t="shared" ca="1" si="1"/>
        <v>46304.551230092591</v>
      </c>
      <c r="N36" s="38">
        <f t="shared" si="2"/>
        <v>3</v>
      </c>
      <c r="O36" s="39">
        <f t="shared" ca="1" si="3"/>
        <v>273</v>
      </c>
      <c r="P36" s="40">
        <f t="shared" si="4"/>
        <v>46113</v>
      </c>
    </row>
    <row r="37" spans="1:16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36">
        <f t="shared" ca="1" si="0"/>
        <v>46304</v>
      </c>
      <c r="M37" s="37">
        <f t="shared" ca="1" si="1"/>
        <v>46304.551230092591</v>
      </c>
      <c r="N37" s="38">
        <f t="shared" si="2"/>
        <v>6</v>
      </c>
      <c r="O37" s="39">
        <f t="shared" ca="1" si="3"/>
        <v>233</v>
      </c>
      <c r="P37" s="40">
        <f t="shared" si="4"/>
        <v>46113</v>
      </c>
    </row>
    <row r="38" spans="1:16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36">
        <f t="shared" ca="1" si="0"/>
        <v>46304</v>
      </c>
      <c r="M38" s="37">
        <f t="shared" ca="1" si="1"/>
        <v>46304.551230092591</v>
      </c>
      <c r="N38" s="38">
        <f t="shared" si="2"/>
        <v>10</v>
      </c>
      <c r="O38" s="39">
        <f t="shared" ca="1" si="3"/>
        <v>271</v>
      </c>
      <c r="P38" s="40">
        <f t="shared" si="4"/>
        <v>46113</v>
      </c>
    </row>
    <row r="39" spans="1:16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36">
        <f t="shared" ca="1" si="0"/>
        <v>46304</v>
      </c>
      <c r="M39" s="37">
        <f t="shared" ca="1" si="1"/>
        <v>46304.551230092591</v>
      </c>
      <c r="N39" s="38">
        <f t="shared" si="2"/>
        <v>1</v>
      </c>
      <c r="O39" s="39">
        <f t="shared" ca="1" si="3"/>
        <v>274</v>
      </c>
      <c r="P39" s="40">
        <f t="shared" si="4"/>
        <v>46113</v>
      </c>
    </row>
    <row r="40" spans="1:16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36">
        <f t="shared" ca="1" si="0"/>
        <v>46304</v>
      </c>
      <c r="M40" s="37">
        <f t="shared" ca="1" si="1"/>
        <v>46304.551230092591</v>
      </c>
      <c r="N40" s="38">
        <f t="shared" si="2"/>
        <v>3</v>
      </c>
      <c r="O40" s="39">
        <f t="shared" ca="1" si="3"/>
        <v>197</v>
      </c>
      <c r="P40" s="40">
        <f t="shared" si="4"/>
        <v>46113</v>
      </c>
    </row>
    <row r="41" spans="1:16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36">
        <f t="shared" ca="1" si="0"/>
        <v>46304</v>
      </c>
      <c r="M41" s="37">
        <f t="shared" ca="1" si="1"/>
        <v>46304.551230092591</v>
      </c>
      <c r="N41" s="38">
        <f t="shared" si="2"/>
        <v>7</v>
      </c>
      <c r="O41" s="39">
        <f t="shared" ca="1" si="3"/>
        <v>133</v>
      </c>
      <c r="P41" s="40">
        <f t="shared" si="4"/>
        <v>46113</v>
      </c>
    </row>
    <row r="42" spans="1:16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36">
        <f t="shared" ca="1" si="0"/>
        <v>46304</v>
      </c>
      <c r="M42" s="37">
        <f t="shared" ca="1" si="1"/>
        <v>46304.551230092591</v>
      </c>
      <c r="N42" s="38">
        <f t="shared" si="2"/>
        <v>3</v>
      </c>
      <c r="O42" s="39">
        <f t="shared" ca="1" si="3"/>
        <v>119</v>
      </c>
      <c r="P42" s="40">
        <f t="shared" si="4"/>
        <v>46113</v>
      </c>
    </row>
    <row r="43" spans="1:16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36">
        <f t="shared" ca="1" si="0"/>
        <v>46304</v>
      </c>
      <c r="M43" s="37">
        <f t="shared" ca="1" si="1"/>
        <v>46304.551230092591</v>
      </c>
      <c r="N43" s="38">
        <f t="shared" si="2"/>
        <v>7</v>
      </c>
      <c r="O43" s="39">
        <f t="shared" ca="1" si="3"/>
        <v>223</v>
      </c>
      <c r="P43" s="40">
        <f t="shared" si="4"/>
        <v>46113</v>
      </c>
    </row>
    <row r="44" spans="1:16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36">
        <f t="shared" ca="1" si="0"/>
        <v>46304</v>
      </c>
      <c r="M44" s="37">
        <f t="shared" ca="1" si="1"/>
        <v>46304.551230092591</v>
      </c>
      <c r="N44" s="38">
        <f t="shared" si="2"/>
        <v>7</v>
      </c>
      <c r="O44" s="39">
        <f t="shared" ca="1" si="3"/>
        <v>213</v>
      </c>
      <c r="P44" s="40">
        <f t="shared" si="4"/>
        <v>46113</v>
      </c>
    </row>
    <row r="45" spans="1:16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36">
        <f t="shared" ca="1" si="0"/>
        <v>46304</v>
      </c>
      <c r="M45" s="37">
        <f t="shared" ca="1" si="1"/>
        <v>46304.551230092591</v>
      </c>
      <c r="N45" s="38">
        <f t="shared" si="2"/>
        <v>3</v>
      </c>
      <c r="O45" s="39">
        <f t="shared" ca="1" si="3"/>
        <v>131</v>
      </c>
      <c r="P45" s="40">
        <f t="shared" si="4"/>
        <v>46113</v>
      </c>
    </row>
    <row r="46" spans="1:16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36">
        <f t="shared" ca="1" si="0"/>
        <v>46304</v>
      </c>
      <c r="M46" s="37">
        <f t="shared" ca="1" si="1"/>
        <v>46304.551230092591</v>
      </c>
      <c r="N46" s="38">
        <f t="shared" si="2"/>
        <v>1</v>
      </c>
      <c r="O46" s="39">
        <f t="shared" ca="1" si="3"/>
        <v>266</v>
      </c>
      <c r="P46" s="40">
        <f t="shared" si="4"/>
        <v>46113</v>
      </c>
    </row>
    <row r="47" spans="1:16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36">
        <f t="shared" ca="1" si="0"/>
        <v>46304</v>
      </c>
      <c r="M47" s="37">
        <f t="shared" ca="1" si="1"/>
        <v>46304.551230092591</v>
      </c>
      <c r="N47" s="38">
        <f t="shared" si="2"/>
        <v>5</v>
      </c>
      <c r="O47" s="39">
        <f t="shared" ca="1" si="3"/>
        <v>151</v>
      </c>
      <c r="P47" s="40">
        <f t="shared" si="4"/>
        <v>46113</v>
      </c>
    </row>
    <row r="48" spans="1:16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36">
        <f t="shared" ca="1" si="0"/>
        <v>46304</v>
      </c>
      <c r="M48" s="37">
        <f t="shared" ca="1" si="1"/>
        <v>46304.551230092591</v>
      </c>
      <c r="N48" s="38">
        <f t="shared" si="2"/>
        <v>9</v>
      </c>
      <c r="O48" s="39">
        <f t="shared" ca="1" si="3"/>
        <v>104</v>
      </c>
      <c r="P48" s="40">
        <f t="shared" si="4"/>
        <v>46113</v>
      </c>
    </row>
    <row r="49" spans="1:16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36">
        <f t="shared" ca="1" si="0"/>
        <v>46304</v>
      </c>
      <c r="M49" s="37">
        <f t="shared" ca="1" si="1"/>
        <v>46304.551230092591</v>
      </c>
      <c r="N49" s="38">
        <f t="shared" si="2"/>
        <v>6</v>
      </c>
      <c r="O49" s="39">
        <f t="shared" ca="1" si="3"/>
        <v>124</v>
      </c>
      <c r="P49" s="40">
        <f t="shared" si="4"/>
        <v>46113</v>
      </c>
    </row>
    <row r="50" spans="1:16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36">
        <f t="shared" ca="1" si="0"/>
        <v>46304</v>
      </c>
      <c r="M50" s="37">
        <f t="shared" ca="1" si="1"/>
        <v>46304.551230092591</v>
      </c>
      <c r="N50" s="38">
        <f t="shared" si="2"/>
        <v>6</v>
      </c>
      <c r="O50" s="39">
        <f t="shared" ca="1" si="3"/>
        <v>202</v>
      </c>
      <c r="P50" s="40">
        <f t="shared" si="4"/>
        <v>46113</v>
      </c>
    </row>
    <row r="51" spans="1:16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36">
        <f t="shared" ca="1" si="0"/>
        <v>46304</v>
      </c>
      <c r="M51" s="37">
        <f t="shared" ca="1" si="1"/>
        <v>46304.551230092591</v>
      </c>
      <c r="N51" s="38">
        <f t="shared" si="2"/>
        <v>10</v>
      </c>
      <c r="O51" s="39">
        <f t="shared" ca="1" si="3"/>
        <v>177</v>
      </c>
      <c r="P51" s="40">
        <f t="shared" si="4"/>
        <v>46113</v>
      </c>
    </row>
    <row r="52" spans="1:16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36">
        <f t="shared" ca="1" si="0"/>
        <v>46304</v>
      </c>
      <c r="M52" s="37">
        <f t="shared" ca="1" si="1"/>
        <v>46304.551230092591</v>
      </c>
      <c r="N52" s="38">
        <f t="shared" si="2"/>
        <v>8</v>
      </c>
      <c r="O52" s="39">
        <f t="shared" ca="1" si="3"/>
        <v>267</v>
      </c>
      <c r="P52" s="40">
        <f t="shared" si="4"/>
        <v>46113</v>
      </c>
    </row>
    <row r="53" spans="1:16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36">
        <f t="shared" ca="1" si="0"/>
        <v>46304</v>
      </c>
      <c r="M53" s="37">
        <f t="shared" ca="1" si="1"/>
        <v>46304.551230092591</v>
      </c>
      <c r="N53" s="38">
        <f t="shared" si="2"/>
        <v>6</v>
      </c>
      <c r="O53" s="39">
        <f t="shared" ca="1" si="3"/>
        <v>145</v>
      </c>
      <c r="P53" s="40">
        <f t="shared" si="4"/>
        <v>46113</v>
      </c>
    </row>
    <row r="54" spans="1:16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36">
        <f t="shared" ca="1" si="0"/>
        <v>46304</v>
      </c>
      <c r="M54" s="37">
        <f t="shared" ca="1" si="1"/>
        <v>46304.551230092591</v>
      </c>
      <c r="N54" s="38">
        <f t="shared" si="2"/>
        <v>6</v>
      </c>
      <c r="O54" s="39">
        <f t="shared" ca="1" si="3"/>
        <v>240</v>
      </c>
      <c r="P54" s="40">
        <f t="shared" si="4"/>
        <v>46113</v>
      </c>
    </row>
    <row r="55" spans="1:16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36">
        <f t="shared" ca="1" si="0"/>
        <v>46304</v>
      </c>
      <c r="M55" s="37">
        <f t="shared" ca="1" si="1"/>
        <v>46304.551230092591</v>
      </c>
      <c r="N55" s="38">
        <f t="shared" si="2"/>
        <v>1</v>
      </c>
      <c r="O55" s="39">
        <f t="shared" ca="1" si="3"/>
        <v>104</v>
      </c>
      <c r="P55" s="40">
        <f t="shared" si="4"/>
        <v>46113</v>
      </c>
    </row>
    <row r="56" spans="1:16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36">
        <f t="shared" ca="1" si="0"/>
        <v>46304</v>
      </c>
      <c r="M56" s="37">
        <f t="shared" ca="1" si="1"/>
        <v>46304.551230092591</v>
      </c>
      <c r="N56" s="38">
        <f t="shared" si="2"/>
        <v>1</v>
      </c>
      <c r="O56" s="39">
        <f t="shared" ca="1" si="3"/>
        <v>227</v>
      </c>
      <c r="P56" s="40">
        <f t="shared" si="4"/>
        <v>46113</v>
      </c>
    </row>
    <row r="57" spans="1:16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36">
        <f t="shared" ca="1" si="0"/>
        <v>46304</v>
      </c>
      <c r="M57" s="37">
        <f t="shared" ca="1" si="1"/>
        <v>46304.551230092591</v>
      </c>
      <c r="N57" s="38">
        <f t="shared" si="2"/>
        <v>6</v>
      </c>
      <c r="O57" s="39">
        <f t="shared" ca="1" si="3"/>
        <v>171</v>
      </c>
      <c r="P57" s="40">
        <f t="shared" si="4"/>
        <v>46113</v>
      </c>
    </row>
    <row r="58" spans="1:16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36">
        <f t="shared" ca="1" si="0"/>
        <v>46304</v>
      </c>
      <c r="M58" s="37">
        <f t="shared" ca="1" si="1"/>
        <v>46304.551230092591</v>
      </c>
      <c r="N58" s="38">
        <f t="shared" si="2"/>
        <v>9</v>
      </c>
      <c r="O58" s="39">
        <f t="shared" ca="1" si="3"/>
        <v>237</v>
      </c>
      <c r="P58" s="40">
        <f t="shared" si="4"/>
        <v>46113</v>
      </c>
    </row>
    <row r="59" spans="1:16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36">
        <f t="shared" ca="1" si="0"/>
        <v>46304</v>
      </c>
      <c r="M59" s="37">
        <f t="shared" ca="1" si="1"/>
        <v>46304.551230092591</v>
      </c>
      <c r="N59" s="38">
        <f t="shared" si="2"/>
        <v>10</v>
      </c>
      <c r="O59" s="39">
        <f t="shared" ca="1" si="3"/>
        <v>230</v>
      </c>
      <c r="P59" s="40">
        <f t="shared" si="4"/>
        <v>46113</v>
      </c>
    </row>
    <row r="60" spans="1:16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36">
        <f t="shared" ca="1" si="0"/>
        <v>46304</v>
      </c>
      <c r="M60" s="37">
        <f t="shared" ca="1" si="1"/>
        <v>46304.551230092591</v>
      </c>
      <c r="N60" s="38">
        <f t="shared" si="2"/>
        <v>9</v>
      </c>
      <c r="O60" s="39">
        <f t="shared" ca="1" si="3"/>
        <v>191</v>
      </c>
      <c r="P60" s="40">
        <f t="shared" si="4"/>
        <v>46113</v>
      </c>
    </row>
    <row r="61" spans="1:16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36">
        <f t="shared" ca="1" si="0"/>
        <v>46304</v>
      </c>
      <c r="M61" s="37">
        <f t="shared" ca="1" si="1"/>
        <v>46304.551230092591</v>
      </c>
      <c r="N61" s="38">
        <f t="shared" si="2"/>
        <v>6</v>
      </c>
      <c r="O61" s="39">
        <f t="shared" ca="1" si="3"/>
        <v>280</v>
      </c>
      <c r="P61" s="40">
        <f t="shared" si="4"/>
        <v>46113</v>
      </c>
    </row>
    <row r="62" spans="1:16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36">
        <f t="shared" ca="1" si="0"/>
        <v>46304</v>
      </c>
      <c r="M62" s="37">
        <f t="shared" ca="1" si="1"/>
        <v>46304.551230092591</v>
      </c>
      <c r="N62" s="38">
        <f t="shared" si="2"/>
        <v>9</v>
      </c>
      <c r="O62" s="39">
        <f t="shared" ca="1" si="3"/>
        <v>244</v>
      </c>
      <c r="P62" s="40">
        <f t="shared" si="4"/>
        <v>46113</v>
      </c>
    </row>
    <row r="63" spans="1:16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36">
        <f t="shared" ca="1" si="0"/>
        <v>46304</v>
      </c>
      <c r="M63" s="37">
        <f t="shared" ca="1" si="1"/>
        <v>46304.551230092591</v>
      </c>
      <c r="N63" s="38">
        <f t="shared" si="2"/>
        <v>10</v>
      </c>
      <c r="O63" s="39">
        <f t="shared" ca="1" si="3"/>
        <v>114</v>
      </c>
      <c r="P63" s="40">
        <f t="shared" si="4"/>
        <v>46113</v>
      </c>
    </row>
    <row r="64" spans="1:16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36">
        <f t="shared" ca="1" si="0"/>
        <v>46304</v>
      </c>
      <c r="M64" s="37">
        <f t="shared" ca="1" si="1"/>
        <v>46304.551230092591</v>
      </c>
      <c r="N64" s="38">
        <f t="shared" si="2"/>
        <v>7</v>
      </c>
      <c r="O64" s="39">
        <f t="shared" ca="1" si="3"/>
        <v>156</v>
      </c>
      <c r="P64" s="40">
        <f t="shared" si="4"/>
        <v>46113</v>
      </c>
    </row>
    <row r="65" spans="1:16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36">
        <f t="shared" ca="1" si="0"/>
        <v>46304</v>
      </c>
      <c r="M65" s="37">
        <f t="shared" ca="1" si="1"/>
        <v>46304.551230092591</v>
      </c>
      <c r="N65" s="38">
        <f t="shared" si="2"/>
        <v>10</v>
      </c>
      <c r="O65" s="39">
        <f t="shared" ca="1" si="3"/>
        <v>119</v>
      </c>
      <c r="P65" s="40">
        <f t="shared" si="4"/>
        <v>46113</v>
      </c>
    </row>
    <row r="66" spans="1:16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36">
        <f t="shared" ca="1" si="0"/>
        <v>46304</v>
      </c>
      <c r="M66" s="37">
        <f t="shared" ca="1" si="1"/>
        <v>46304.551230092591</v>
      </c>
      <c r="N66" s="38">
        <f t="shared" si="2"/>
        <v>3</v>
      </c>
      <c r="O66" s="39">
        <f t="shared" ca="1" si="3"/>
        <v>112</v>
      </c>
      <c r="P66" s="40">
        <f t="shared" si="4"/>
        <v>46113</v>
      </c>
    </row>
    <row r="67" spans="1:16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36">
        <f t="shared" ref="L67:L130" ca="1" si="5">TODAY()</f>
        <v>46304</v>
      </c>
      <c r="M67" s="37">
        <f t="shared" ref="M67:M130" ca="1" si="6">NOW()</f>
        <v>46304.551230092591</v>
      </c>
      <c r="N67" s="38">
        <f t="shared" ref="N67:N130" si="7">(J67-I67)</f>
        <v>1</v>
      </c>
      <c r="O67" s="39">
        <f t="shared" ref="O67:O130" ca="1" si="8">(L67-I67)</f>
        <v>222</v>
      </c>
      <c r="P67" s="40">
        <f t="shared" ref="P67:P130" si="9">DATE(2026,4,1)</f>
        <v>46113</v>
      </c>
    </row>
    <row r="68" spans="1:16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36">
        <f t="shared" ca="1" si="5"/>
        <v>46304</v>
      </c>
      <c r="M68" s="37">
        <f t="shared" ca="1" si="6"/>
        <v>46304.551230092591</v>
      </c>
      <c r="N68" s="38">
        <f t="shared" si="7"/>
        <v>4</v>
      </c>
      <c r="O68" s="39">
        <f t="shared" ca="1" si="8"/>
        <v>246</v>
      </c>
      <c r="P68" s="40">
        <f t="shared" si="9"/>
        <v>46113</v>
      </c>
    </row>
    <row r="69" spans="1:16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36">
        <f t="shared" ca="1" si="5"/>
        <v>46304</v>
      </c>
      <c r="M69" s="37">
        <f t="shared" ca="1" si="6"/>
        <v>46304.551230092591</v>
      </c>
      <c r="N69" s="38">
        <f t="shared" si="7"/>
        <v>3</v>
      </c>
      <c r="O69" s="39">
        <f t="shared" ca="1" si="8"/>
        <v>108</v>
      </c>
      <c r="P69" s="40">
        <f t="shared" si="9"/>
        <v>46113</v>
      </c>
    </row>
    <row r="70" spans="1:16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36">
        <f t="shared" ca="1" si="5"/>
        <v>46304</v>
      </c>
      <c r="M70" s="37">
        <f t="shared" ca="1" si="6"/>
        <v>46304.551230092591</v>
      </c>
      <c r="N70" s="38">
        <f t="shared" si="7"/>
        <v>7</v>
      </c>
      <c r="O70" s="39">
        <f t="shared" ca="1" si="8"/>
        <v>265</v>
      </c>
      <c r="P70" s="40">
        <f t="shared" si="9"/>
        <v>46113</v>
      </c>
    </row>
    <row r="71" spans="1:16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36">
        <f t="shared" ca="1" si="5"/>
        <v>46304</v>
      </c>
      <c r="M71" s="37">
        <f t="shared" ca="1" si="6"/>
        <v>46304.551230092591</v>
      </c>
      <c r="N71" s="38">
        <f t="shared" si="7"/>
        <v>1</v>
      </c>
      <c r="O71" s="39">
        <f t="shared" ca="1" si="8"/>
        <v>228</v>
      </c>
      <c r="P71" s="40">
        <f t="shared" si="9"/>
        <v>46113</v>
      </c>
    </row>
    <row r="72" spans="1:16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36">
        <f t="shared" ca="1" si="5"/>
        <v>46304</v>
      </c>
      <c r="M72" s="37">
        <f t="shared" ca="1" si="6"/>
        <v>46304.551230092591</v>
      </c>
      <c r="N72" s="38">
        <f t="shared" si="7"/>
        <v>8</v>
      </c>
      <c r="O72" s="39">
        <f t="shared" ca="1" si="8"/>
        <v>175</v>
      </c>
      <c r="P72" s="40">
        <f t="shared" si="9"/>
        <v>46113</v>
      </c>
    </row>
    <row r="73" spans="1:16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36">
        <f t="shared" ca="1" si="5"/>
        <v>46304</v>
      </c>
      <c r="M73" s="37">
        <f t="shared" ca="1" si="6"/>
        <v>46304.551230092591</v>
      </c>
      <c r="N73" s="38">
        <f t="shared" si="7"/>
        <v>1</v>
      </c>
      <c r="O73" s="39">
        <f t="shared" ca="1" si="8"/>
        <v>269</v>
      </c>
      <c r="P73" s="40">
        <f t="shared" si="9"/>
        <v>46113</v>
      </c>
    </row>
    <row r="74" spans="1:16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36">
        <f t="shared" ca="1" si="5"/>
        <v>46304</v>
      </c>
      <c r="M74" s="37">
        <f t="shared" ca="1" si="6"/>
        <v>46304.551230092591</v>
      </c>
      <c r="N74" s="38">
        <f t="shared" si="7"/>
        <v>3</v>
      </c>
      <c r="O74" s="39">
        <f t="shared" ca="1" si="8"/>
        <v>178</v>
      </c>
      <c r="P74" s="40">
        <f t="shared" si="9"/>
        <v>46113</v>
      </c>
    </row>
    <row r="75" spans="1:16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36">
        <f t="shared" ca="1" si="5"/>
        <v>46304</v>
      </c>
      <c r="M75" s="37">
        <f t="shared" ca="1" si="6"/>
        <v>46304.551230092591</v>
      </c>
      <c r="N75" s="38">
        <f t="shared" si="7"/>
        <v>9</v>
      </c>
      <c r="O75" s="39">
        <f t="shared" ca="1" si="8"/>
        <v>190</v>
      </c>
      <c r="P75" s="40">
        <f t="shared" si="9"/>
        <v>46113</v>
      </c>
    </row>
    <row r="76" spans="1:16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36">
        <f t="shared" ca="1" si="5"/>
        <v>46304</v>
      </c>
      <c r="M76" s="37">
        <f t="shared" ca="1" si="6"/>
        <v>46304.551230092591</v>
      </c>
      <c r="N76" s="38">
        <f t="shared" si="7"/>
        <v>1</v>
      </c>
      <c r="O76" s="39">
        <f t="shared" ca="1" si="8"/>
        <v>119</v>
      </c>
      <c r="P76" s="40">
        <f t="shared" si="9"/>
        <v>46113</v>
      </c>
    </row>
    <row r="77" spans="1:16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36">
        <f t="shared" ca="1" si="5"/>
        <v>46304</v>
      </c>
      <c r="M77" s="37">
        <f t="shared" ca="1" si="6"/>
        <v>46304.551230092591</v>
      </c>
      <c r="N77" s="38">
        <f t="shared" si="7"/>
        <v>10</v>
      </c>
      <c r="O77" s="39">
        <f t="shared" ca="1" si="8"/>
        <v>259</v>
      </c>
      <c r="P77" s="40">
        <f t="shared" si="9"/>
        <v>46113</v>
      </c>
    </row>
    <row r="78" spans="1:16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36">
        <f t="shared" ca="1" si="5"/>
        <v>46304</v>
      </c>
      <c r="M78" s="37">
        <f t="shared" ca="1" si="6"/>
        <v>46304.551230092591</v>
      </c>
      <c r="N78" s="38">
        <f t="shared" si="7"/>
        <v>8</v>
      </c>
      <c r="O78" s="39">
        <f t="shared" ca="1" si="8"/>
        <v>191</v>
      </c>
      <c r="P78" s="40">
        <f t="shared" si="9"/>
        <v>46113</v>
      </c>
    </row>
    <row r="79" spans="1:16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36">
        <f t="shared" ca="1" si="5"/>
        <v>46304</v>
      </c>
      <c r="M79" s="37">
        <f t="shared" ca="1" si="6"/>
        <v>46304.551230092591</v>
      </c>
      <c r="N79" s="38">
        <f t="shared" si="7"/>
        <v>6</v>
      </c>
      <c r="O79" s="39">
        <f t="shared" ca="1" si="8"/>
        <v>220</v>
      </c>
      <c r="P79" s="40">
        <f t="shared" si="9"/>
        <v>46113</v>
      </c>
    </row>
    <row r="80" spans="1:16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36">
        <f t="shared" ca="1" si="5"/>
        <v>46304</v>
      </c>
      <c r="M80" s="37">
        <f t="shared" ca="1" si="6"/>
        <v>46304.551230092591</v>
      </c>
      <c r="N80" s="38">
        <f t="shared" si="7"/>
        <v>7</v>
      </c>
      <c r="O80" s="39">
        <f t="shared" ca="1" si="8"/>
        <v>134</v>
      </c>
      <c r="P80" s="40">
        <f t="shared" si="9"/>
        <v>46113</v>
      </c>
    </row>
    <row r="81" spans="1:16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36">
        <f t="shared" ca="1" si="5"/>
        <v>46304</v>
      </c>
      <c r="M81" s="37">
        <f t="shared" ca="1" si="6"/>
        <v>46304.551230092591</v>
      </c>
      <c r="N81" s="38">
        <f t="shared" si="7"/>
        <v>10</v>
      </c>
      <c r="O81" s="39">
        <f t="shared" ca="1" si="8"/>
        <v>171</v>
      </c>
      <c r="P81" s="40">
        <f t="shared" si="9"/>
        <v>46113</v>
      </c>
    </row>
    <row r="82" spans="1:16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36">
        <f t="shared" ca="1" si="5"/>
        <v>46304</v>
      </c>
      <c r="M82" s="37">
        <f t="shared" ca="1" si="6"/>
        <v>46304.551230092591</v>
      </c>
      <c r="N82" s="38">
        <f t="shared" si="7"/>
        <v>2</v>
      </c>
      <c r="O82" s="39">
        <f t="shared" ca="1" si="8"/>
        <v>246</v>
      </c>
      <c r="P82" s="40">
        <f t="shared" si="9"/>
        <v>46113</v>
      </c>
    </row>
    <row r="83" spans="1:16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36">
        <f t="shared" ca="1" si="5"/>
        <v>46304</v>
      </c>
      <c r="M83" s="37">
        <f t="shared" ca="1" si="6"/>
        <v>46304.551230092591</v>
      </c>
      <c r="N83" s="38">
        <f t="shared" si="7"/>
        <v>10</v>
      </c>
      <c r="O83" s="39">
        <f t="shared" ca="1" si="8"/>
        <v>229</v>
      </c>
      <c r="P83" s="40">
        <f t="shared" si="9"/>
        <v>46113</v>
      </c>
    </row>
    <row r="84" spans="1:16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36">
        <f t="shared" ca="1" si="5"/>
        <v>46304</v>
      </c>
      <c r="M84" s="37">
        <f t="shared" ca="1" si="6"/>
        <v>46304.551230092591</v>
      </c>
      <c r="N84" s="38">
        <f t="shared" si="7"/>
        <v>8</v>
      </c>
      <c r="O84" s="39">
        <f t="shared" ca="1" si="8"/>
        <v>119</v>
      </c>
      <c r="P84" s="40">
        <f t="shared" si="9"/>
        <v>46113</v>
      </c>
    </row>
    <row r="85" spans="1:16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36">
        <f t="shared" ca="1" si="5"/>
        <v>46304</v>
      </c>
      <c r="M85" s="37">
        <f t="shared" ca="1" si="6"/>
        <v>46304.551230092591</v>
      </c>
      <c r="N85" s="38">
        <f t="shared" si="7"/>
        <v>10</v>
      </c>
      <c r="O85" s="39">
        <f t="shared" ca="1" si="8"/>
        <v>257</v>
      </c>
      <c r="P85" s="40">
        <f t="shared" si="9"/>
        <v>46113</v>
      </c>
    </row>
    <row r="86" spans="1:16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36">
        <f t="shared" ca="1" si="5"/>
        <v>46304</v>
      </c>
      <c r="M86" s="37">
        <f t="shared" ca="1" si="6"/>
        <v>46304.551230092591</v>
      </c>
      <c r="N86" s="38">
        <f t="shared" si="7"/>
        <v>4</v>
      </c>
      <c r="O86" s="39">
        <f t="shared" ca="1" si="8"/>
        <v>158</v>
      </c>
      <c r="P86" s="40">
        <f t="shared" si="9"/>
        <v>46113</v>
      </c>
    </row>
    <row r="87" spans="1:16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36">
        <f t="shared" ca="1" si="5"/>
        <v>46304</v>
      </c>
      <c r="M87" s="37">
        <f t="shared" ca="1" si="6"/>
        <v>46304.551230092591</v>
      </c>
      <c r="N87" s="38">
        <f t="shared" si="7"/>
        <v>4</v>
      </c>
      <c r="O87" s="39">
        <f t="shared" ca="1" si="8"/>
        <v>259</v>
      </c>
      <c r="P87" s="40">
        <f t="shared" si="9"/>
        <v>46113</v>
      </c>
    </row>
    <row r="88" spans="1:16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36">
        <f t="shared" ca="1" si="5"/>
        <v>46304</v>
      </c>
      <c r="M88" s="37">
        <f t="shared" ca="1" si="6"/>
        <v>46304.551230092591</v>
      </c>
      <c r="N88" s="38">
        <f t="shared" si="7"/>
        <v>5</v>
      </c>
      <c r="O88" s="39">
        <f t="shared" ca="1" si="8"/>
        <v>133</v>
      </c>
      <c r="P88" s="40">
        <f t="shared" si="9"/>
        <v>46113</v>
      </c>
    </row>
    <row r="89" spans="1:16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36">
        <f t="shared" ca="1" si="5"/>
        <v>46304</v>
      </c>
      <c r="M89" s="37">
        <f t="shared" ca="1" si="6"/>
        <v>46304.551230092591</v>
      </c>
      <c r="N89" s="38">
        <f t="shared" si="7"/>
        <v>1</v>
      </c>
      <c r="O89" s="39">
        <f t="shared" ca="1" si="8"/>
        <v>236</v>
      </c>
      <c r="P89" s="40">
        <f t="shared" si="9"/>
        <v>46113</v>
      </c>
    </row>
    <row r="90" spans="1:16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36">
        <f t="shared" ca="1" si="5"/>
        <v>46304</v>
      </c>
      <c r="M90" s="37">
        <f t="shared" ca="1" si="6"/>
        <v>46304.551230092591</v>
      </c>
      <c r="N90" s="38">
        <f t="shared" si="7"/>
        <v>5</v>
      </c>
      <c r="O90" s="39">
        <f t="shared" ca="1" si="8"/>
        <v>238</v>
      </c>
      <c r="P90" s="40">
        <f t="shared" si="9"/>
        <v>46113</v>
      </c>
    </row>
    <row r="91" spans="1:16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36">
        <f t="shared" ca="1" si="5"/>
        <v>46304</v>
      </c>
      <c r="M91" s="37">
        <f t="shared" ca="1" si="6"/>
        <v>46304.551230092591</v>
      </c>
      <c r="N91" s="38">
        <f t="shared" si="7"/>
        <v>7</v>
      </c>
      <c r="O91" s="39">
        <f t="shared" ca="1" si="8"/>
        <v>216</v>
      </c>
      <c r="P91" s="40">
        <f t="shared" si="9"/>
        <v>46113</v>
      </c>
    </row>
    <row r="92" spans="1:16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36">
        <f t="shared" ca="1" si="5"/>
        <v>46304</v>
      </c>
      <c r="M92" s="37">
        <f t="shared" ca="1" si="6"/>
        <v>46304.551230092591</v>
      </c>
      <c r="N92" s="38">
        <f t="shared" si="7"/>
        <v>8</v>
      </c>
      <c r="O92" s="39">
        <f t="shared" ca="1" si="8"/>
        <v>168</v>
      </c>
      <c r="P92" s="40">
        <f t="shared" si="9"/>
        <v>46113</v>
      </c>
    </row>
    <row r="93" spans="1:16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36">
        <f t="shared" ca="1" si="5"/>
        <v>46304</v>
      </c>
      <c r="M93" s="37">
        <f t="shared" ca="1" si="6"/>
        <v>46304.551230092591</v>
      </c>
      <c r="N93" s="38">
        <f t="shared" si="7"/>
        <v>6</v>
      </c>
      <c r="O93" s="39">
        <f t="shared" ca="1" si="8"/>
        <v>255</v>
      </c>
      <c r="P93" s="40">
        <f t="shared" si="9"/>
        <v>46113</v>
      </c>
    </row>
    <row r="94" spans="1:16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36">
        <f t="shared" ca="1" si="5"/>
        <v>46304</v>
      </c>
      <c r="M94" s="37">
        <f t="shared" ca="1" si="6"/>
        <v>46304.551230092591</v>
      </c>
      <c r="N94" s="38">
        <f t="shared" si="7"/>
        <v>10</v>
      </c>
      <c r="O94" s="39">
        <f t="shared" ca="1" si="8"/>
        <v>129</v>
      </c>
      <c r="P94" s="40">
        <f t="shared" si="9"/>
        <v>46113</v>
      </c>
    </row>
    <row r="95" spans="1:16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36">
        <f t="shared" ca="1" si="5"/>
        <v>46304</v>
      </c>
      <c r="M95" s="37">
        <f t="shared" ca="1" si="6"/>
        <v>46304.551230092591</v>
      </c>
      <c r="N95" s="38">
        <f t="shared" si="7"/>
        <v>4</v>
      </c>
      <c r="O95" s="39">
        <f t="shared" ca="1" si="8"/>
        <v>203</v>
      </c>
      <c r="P95" s="40">
        <f t="shared" si="9"/>
        <v>46113</v>
      </c>
    </row>
    <row r="96" spans="1:16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36">
        <f t="shared" ca="1" si="5"/>
        <v>46304</v>
      </c>
      <c r="M96" s="37">
        <f t="shared" ca="1" si="6"/>
        <v>46304.551230092591</v>
      </c>
      <c r="N96" s="38">
        <f t="shared" si="7"/>
        <v>4</v>
      </c>
      <c r="O96" s="39">
        <f t="shared" ca="1" si="8"/>
        <v>137</v>
      </c>
      <c r="P96" s="40">
        <f t="shared" si="9"/>
        <v>46113</v>
      </c>
    </row>
    <row r="97" spans="1:16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36">
        <f t="shared" ca="1" si="5"/>
        <v>46304</v>
      </c>
      <c r="M97" s="37">
        <f t="shared" ca="1" si="6"/>
        <v>46304.551230092591</v>
      </c>
      <c r="N97" s="38">
        <f t="shared" si="7"/>
        <v>7</v>
      </c>
      <c r="O97" s="39">
        <f t="shared" ca="1" si="8"/>
        <v>250</v>
      </c>
      <c r="P97" s="40">
        <f t="shared" si="9"/>
        <v>46113</v>
      </c>
    </row>
    <row r="98" spans="1:16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36">
        <f t="shared" ca="1" si="5"/>
        <v>46304</v>
      </c>
      <c r="M98" s="37">
        <f t="shared" ca="1" si="6"/>
        <v>46304.551230092591</v>
      </c>
      <c r="N98" s="38">
        <f t="shared" si="7"/>
        <v>5</v>
      </c>
      <c r="O98" s="39">
        <f t="shared" ca="1" si="8"/>
        <v>215</v>
      </c>
      <c r="P98" s="40">
        <f t="shared" si="9"/>
        <v>46113</v>
      </c>
    </row>
    <row r="99" spans="1:16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36">
        <f t="shared" ca="1" si="5"/>
        <v>46304</v>
      </c>
      <c r="M99" s="37">
        <f t="shared" ca="1" si="6"/>
        <v>46304.551230092591</v>
      </c>
      <c r="N99" s="38">
        <f t="shared" si="7"/>
        <v>1</v>
      </c>
      <c r="O99" s="39">
        <f t="shared" ca="1" si="8"/>
        <v>178</v>
      </c>
      <c r="P99" s="40">
        <f t="shared" si="9"/>
        <v>46113</v>
      </c>
    </row>
    <row r="100" spans="1:16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36">
        <f t="shared" ca="1" si="5"/>
        <v>46304</v>
      </c>
      <c r="M100" s="37">
        <f t="shared" ca="1" si="6"/>
        <v>46304.551230092591</v>
      </c>
      <c r="N100" s="38">
        <f t="shared" si="7"/>
        <v>2</v>
      </c>
      <c r="O100" s="39">
        <f t="shared" ca="1" si="8"/>
        <v>246</v>
      </c>
      <c r="P100" s="40">
        <f t="shared" si="9"/>
        <v>46113</v>
      </c>
    </row>
    <row r="101" spans="1:16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36">
        <f t="shared" ca="1" si="5"/>
        <v>46304</v>
      </c>
      <c r="M101" s="37">
        <f t="shared" ca="1" si="6"/>
        <v>46304.551230092591</v>
      </c>
      <c r="N101" s="38">
        <f t="shared" si="7"/>
        <v>4</v>
      </c>
      <c r="O101" s="39">
        <f t="shared" ca="1" si="8"/>
        <v>277</v>
      </c>
      <c r="P101" s="40">
        <f t="shared" si="9"/>
        <v>46113</v>
      </c>
    </row>
    <row r="102" spans="1:16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36">
        <f t="shared" ca="1" si="5"/>
        <v>46304</v>
      </c>
      <c r="M102" s="37">
        <f t="shared" ca="1" si="6"/>
        <v>46304.551230092591</v>
      </c>
      <c r="N102" s="38">
        <f t="shared" si="7"/>
        <v>1</v>
      </c>
      <c r="O102" s="39">
        <f t="shared" ca="1" si="8"/>
        <v>163</v>
      </c>
      <c r="P102" s="40">
        <f t="shared" si="9"/>
        <v>46113</v>
      </c>
    </row>
    <row r="103" spans="1:16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36">
        <f t="shared" ca="1" si="5"/>
        <v>46304</v>
      </c>
      <c r="M103" s="37">
        <f t="shared" ca="1" si="6"/>
        <v>46304.551230092591</v>
      </c>
      <c r="N103" s="38">
        <f t="shared" si="7"/>
        <v>7</v>
      </c>
      <c r="O103" s="39">
        <f t="shared" ca="1" si="8"/>
        <v>198</v>
      </c>
      <c r="P103" s="40">
        <f t="shared" si="9"/>
        <v>46113</v>
      </c>
    </row>
    <row r="104" spans="1:16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36">
        <f t="shared" ca="1" si="5"/>
        <v>46304</v>
      </c>
      <c r="M104" s="37">
        <f t="shared" ca="1" si="6"/>
        <v>46304.551230092591</v>
      </c>
      <c r="N104" s="38">
        <f t="shared" si="7"/>
        <v>1</v>
      </c>
      <c r="O104" s="39">
        <f t="shared" ca="1" si="8"/>
        <v>264</v>
      </c>
      <c r="P104" s="40">
        <f t="shared" si="9"/>
        <v>46113</v>
      </c>
    </row>
    <row r="105" spans="1:16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36">
        <f t="shared" ca="1" si="5"/>
        <v>46304</v>
      </c>
      <c r="M105" s="37">
        <f t="shared" ca="1" si="6"/>
        <v>46304.551230092591</v>
      </c>
      <c r="N105" s="38">
        <f t="shared" si="7"/>
        <v>4</v>
      </c>
      <c r="O105" s="39">
        <f t="shared" ca="1" si="8"/>
        <v>244</v>
      </c>
      <c r="P105" s="40">
        <f t="shared" si="9"/>
        <v>46113</v>
      </c>
    </row>
    <row r="106" spans="1:16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36">
        <f t="shared" ca="1" si="5"/>
        <v>46304</v>
      </c>
      <c r="M106" s="37">
        <f t="shared" ca="1" si="6"/>
        <v>46304.551230092591</v>
      </c>
      <c r="N106" s="38">
        <f t="shared" si="7"/>
        <v>9</v>
      </c>
      <c r="O106" s="39">
        <f t="shared" ca="1" si="8"/>
        <v>247</v>
      </c>
      <c r="P106" s="40">
        <f t="shared" si="9"/>
        <v>46113</v>
      </c>
    </row>
    <row r="107" spans="1:16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36">
        <f t="shared" ca="1" si="5"/>
        <v>46304</v>
      </c>
      <c r="M107" s="37">
        <f t="shared" ca="1" si="6"/>
        <v>46304.551230092591</v>
      </c>
      <c r="N107" s="38">
        <f t="shared" si="7"/>
        <v>6</v>
      </c>
      <c r="O107" s="39">
        <f t="shared" ca="1" si="8"/>
        <v>213</v>
      </c>
      <c r="P107" s="40">
        <f t="shared" si="9"/>
        <v>46113</v>
      </c>
    </row>
    <row r="108" spans="1:16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36">
        <f t="shared" ca="1" si="5"/>
        <v>46304</v>
      </c>
      <c r="M108" s="37">
        <f t="shared" ca="1" si="6"/>
        <v>46304.551230092591</v>
      </c>
      <c r="N108" s="38">
        <f t="shared" si="7"/>
        <v>2</v>
      </c>
      <c r="O108" s="39">
        <f t="shared" ca="1" si="8"/>
        <v>228</v>
      </c>
      <c r="P108" s="40">
        <f t="shared" si="9"/>
        <v>46113</v>
      </c>
    </row>
    <row r="109" spans="1:16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36">
        <f t="shared" ca="1" si="5"/>
        <v>46304</v>
      </c>
      <c r="M109" s="37">
        <f t="shared" ca="1" si="6"/>
        <v>46304.551230092591</v>
      </c>
      <c r="N109" s="38">
        <f t="shared" si="7"/>
        <v>8</v>
      </c>
      <c r="O109" s="39">
        <f t="shared" ca="1" si="8"/>
        <v>185</v>
      </c>
      <c r="P109" s="40">
        <f t="shared" si="9"/>
        <v>46113</v>
      </c>
    </row>
    <row r="110" spans="1:16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36">
        <f t="shared" ca="1" si="5"/>
        <v>46304</v>
      </c>
      <c r="M110" s="37">
        <f t="shared" ca="1" si="6"/>
        <v>46304.551230092591</v>
      </c>
      <c r="N110" s="38">
        <f t="shared" si="7"/>
        <v>4</v>
      </c>
      <c r="O110" s="39">
        <f t="shared" ca="1" si="8"/>
        <v>271</v>
      </c>
      <c r="P110" s="40">
        <f t="shared" si="9"/>
        <v>46113</v>
      </c>
    </row>
    <row r="111" spans="1:16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36">
        <f t="shared" ca="1" si="5"/>
        <v>46304</v>
      </c>
      <c r="M111" s="37">
        <f t="shared" ca="1" si="6"/>
        <v>46304.551230092591</v>
      </c>
      <c r="N111" s="38">
        <f t="shared" si="7"/>
        <v>5</v>
      </c>
      <c r="O111" s="39">
        <f t="shared" ca="1" si="8"/>
        <v>227</v>
      </c>
      <c r="P111" s="40">
        <f t="shared" si="9"/>
        <v>46113</v>
      </c>
    </row>
    <row r="112" spans="1:16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36">
        <f t="shared" ca="1" si="5"/>
        <v>46304</v>
      </c>
      <c r="M112" s="37">
        <f t="shared" ca="1" si="6"/>
        <v>46304.551230092591</v>
      </c>
      <c r="N112" s="38">
        <f t="shared" si="7"/>
        <v>8</v>
      </c>
      <c r="O112" s="39">
        <f t="shared" ca="1" si="8"/>
        <v>171</v>
      </c>
      <c r="P112" s="40">
        <f t="shared" si="9"/>
        <v>46113</v>
      </c>
    </row>
    <row r="113" spans="1:16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36">
        <f t="shared" ca="1" si="5"/>
        <v>46304</v>
      </c>
      <c r="M113" s="37">
        <f t="shared" ca="1" si="6"/>
        <v>46304.551230092591</v>
      </c>
      <c r="N113" s="38">
        <f t="shared" si="7"/>
        <v>10</v>
      </c>
      <c r="O113" s="39">
        <f t="shared" ca="1" si="8"/>
        <v>214</v>
      </c>
      <c r="P113" s="40">
        <f t="shared" si="9"/>
        <v>46113</v>
      </c>
    </row>
    <row r="114" spans="1:16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36">
        <f t="shared" ca="1" si="5"/>
        <v>46304</v>
      </c>
      <c r="M114" s="37">
        <f t="shared" ca="1" si="6"/>
        <v>46304.551230092591</v>
      </c>
      <c r="N114" s="38">
        <f t="shared" si="7"/>
        <v>5</v>
      </c>
      <c r="O114" s="39">
        <f t="shared" ca="1" si="8"/>
        <v>228</v>
      </c>
      <c r="P114" s="40">
        <f t="shared" si="9"/>
        <v>46113</v>
      </c>
    </row>
    <row r="115" spans="1:16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36">
        <f t="shared" ca="1" si="5"/>
        <v>46304</v>
      </c>
      <c r="M115" s="37">
        <f t="shared" ca="1" si="6"/>
        <v>46304.551230092591</v>
      </c>
      <c r="N115" s="38">
        <f t="shared" si="7"/>
        <v>3</v>
      </c>
      <c r="O115" s="39">
        <f t="shared" ca="1" si="8"/>
        <v>238</v>
      </c>
      <c r="P115" s="40">
        <f t="shared" si="9"/>
        <v>46113</v>
      </c>
    </row>
    <row r="116" spans="1:16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36">
        <f t="shared" ca="1" si="5"/>
        <v>46304</v>
      </c>
      <c r="M116" s="37">
        <f t="shared" ca="1" si="6"/>
        <v>46304.551230092591</v>
      </c>
      <c r="N116" s="38">
        <f t="shared" si="7"/>
        <v>8</v>
      </c>
      <c r="O116" s="39">
        <f t="shared" ca="1" si="8"/>
        <v>155</v>
      </c>
      <c r="P116" s="40">
        <f t="shared" si="9"/>
        <v>46113</v>
      </c>
    </row>
    <row r="117" spans="1:16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36">
        <f t="shared" ca="1" si="5"/>
        <v>46304</v>
      </c>
      <c r="M117" s="37">
        <f t="shared" ca="1" si="6"/>
        <v>46304.551230092591</v>
      </c>
      <c r="N117" s="38">
        <f t="shared" si="7"/>
        <v>2</v>
      </c>
      <c r="O117" s="39">
        <f t="shared" ca="1" si="8"/>
        <v>255</v>
      </c>
      <c r="P117" s="40">
        <f t="shared" si="9"/>
        <v>46113</v>
      </c>
    </row>
    <row r="118" spans="1:16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36">
        <f t="shared" ca="1" si="5"/>
        <v>46304</v>
      </c>
      <c r="M118" s="37">
        <f t="shared" ca="1" si="6"/>
        <v>46304.551230092591</v>
      </c>
      <c r="N118" s="38">
        <f t="shared" si="7"/>
        <v>8</v>
      </c>
      <c r="O118" s="39">
        <f t="shared" ca="1" si="8"/>
        <v>157</v>
      </c>
      <c r="P118" s="40">
        <f t="shared" si="9"/>
        <v>46113</v>
      </c>
    </row>
    <row r="119" spans="1:16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36">
        <f t="shared" ca="1" si="5"/>
        <v>46304</v>
      </c>
      <c r="M119" s="37">
        <f t="shared" ca="1" si="6"/>
        <v>46304.551230092591</v>
      </c>
      <c r="N119" s="38">
        <f t="shared" si="7"/>
        <v>9</v>
      </c>
      <c r="O119" s="39">
        <f t="shared" ca="1" si="8"/>
        <v>126</v>
      </c>
      <c r="P119" s="40">
        <f t="shared" si="9"/>
        <v>46113</v>
      </c>
    </row>
    <row r="120" spans="1:16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36">
        <f t="shared" ca="1" si="5"/>
        <v>46304</v>
      </c>
      <c r="M120" s="37">
        <f t="shared" ca="1" si="6"/>
        <v>46304.551230092591</v>
      </c>
      <c r="N120" s="38">
        <f t="shared" si="7"/>
        <v>8</v>
      </c>
      <c r="O120" s="39">
        <f t="shared" ca="1" si="8"/>
        <v>120</v>
      </c>
      <c r="P120" s="40">
        <f t="shared" si="9"/>
        <v>46113</v>
      </c>
    </row>
    <row r="121" spans="1:16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36">
        <f t="shared" ca="1" si="5"/>
        <v>46304</v>
      </c>
      <c r="M121" s="37">
        <f t="shared" ca="1" si="6"/>
        <v>46304.551230092591</v>
      </c>
      <c r="N121" s="38">
        <f t="shared" si="7"/>
        <v>4</v>
      </c>
      <c r="O121" s="39">
        <f t="shared" ca="1" si="8"/>
        <v>243</v>
      </c>
      <c r="P121" s="40">
        <f t="shared" si="9"/>
        <v>46113</v>
      </c>
    </row>
    <row r="122" spans="1:16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36">
        <f t="shared" ca="1" si="5"/>
        <v>46304</v>
      </c>
      <c r="M122" s="37">
        <f t="shared" ca="1" si="6"/>
        <v>46304.551230092591</v>
      </c>
      <c r="N122" s="38">
        <f t="shared" si="7"/>
        <v>5</v>
      </c>
      <c r="O122" s="39">
        <f t="shared" ca="1" si="8"/>
        <v>201</v>
      </c>
      <c r="P122" s="40">
        <f t="shared" si="9"/>
        <v>46113</v>
      </c>
    </row>
    <row r="123" spans="1:16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36">
        <f t="shared" ca="1" si="5"/>
        <v>46304</v>
      </c>
      <c r="M123" s="37">
        <f t="shared" ca="1" si="6"/>
        <v>46304.551230092591</v>
      </c>
      <c r="N123" s="38">
        <f t="shared" si="7"/>
        <v>3</v>
      </c>
      <c r="O123" s="39">
        <f t="shared" ca="1" si="8"/>
        <v>172</v>
      </c>
      <c r="P123" s="40">
        <f t="shared" si="9"/>
        <v>46113</v>
      </c>
    </row>
    <row r="124" spans="1:16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36">
        <f t="shared" ca="1" si="5"/>
        <v>46304</v>
      </c>
      <c r="M124" s="37">
        <f t="shared" ca="1" si="6"/>
        <v>46304.551230092591</v>
      </c>
      <c r="N124" s="38">
        <f t="shared" si="7"/>
        <v>2</v>
      </c>
      <c r="O124" s="39">
        <f t="shared" ca="1" si="8"/>
        <v>197</v>
      </c>
      <c r="P124" s="40">
        <f t="shared" si="9"/>
        <v>46113</v>
      </c>
    </row>
    <row r="125" spans="1:16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36">
        <f t="shared" ca="1" si="5"/>
        <v>46304</v>
      </c>
      <c r="M125" s="37">
        <f t="shared" ca="1" si="6"/>
        <v>46304.551230092591</v>
      </c>
      <c r="N125" s="38">
        <f t="shared" si="7"/>
        <v>7</v>
      </c>
      <c r="O125" s="39">
        <f t="shared" ca="1" si="8"/>
        <v>122</v>
      </c>
      <c r="P125" s="40">
        <f t="shared" si="9"/>
        <v>46113</v>
      </c>
    </row>
    <row r="126" spans="1:16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36">
        <f t="shared" ca="1" si="5"/>
        <v>46304</v>
      </c>
      <c r="M126" s="37">
        <f t="shared" ca="1" si="6"/>
        <v>46304.551230092591</v>
      </c>
      <c r="N126" s="38">
        <f t="shared" si="7"/>
        <v>5</v>
      </c>
      <c r="O126" s="39">
        <f t="shared" ca="1" si="8"/>
        <v>171</v>
      </c>
      <c r="P126" s="40">
        <f t="shared" si="9"/>
        <v>46113</v>
      </c>
    </row>
    <row r="127" spans="1:16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36">
        <f t="shared" ca="1" si="5"/>
        <v>46304</v>
      </c>
      <c r="M127" s="37">
        <f t="shared" ca="1" si="6"/>
        <v>46304.551230092591</v>
      </c>
      <c r="N127" s="38">
        <f t="shared" si="7"/>
        <v>5</v>
      </c>
      <c r="O127" s="39">
        <f t="shared" ca="1" si="8"/>
        <v>103</v>
      </c>
      <c r="P127" s="40">
        <f t="shared" si="9"/>
        <v>46113</v>
      </c>
    </row>
    <row r="128" spans="1:16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36">
        <f t="shared" ca="1" si="5"/>
        <v>46304</v>
      </c>
      <c r="M128" s="37">
        <f t="shared" ca="1" si="6"/>
        <v>46304.551230092591</v>
      </c>
      <c r="N128" s="38">
        <f t="shared" si="7"/>
        <v>9</v>
      </c>
      <c r="O128" s="39">
        <f t="shared" ca="1" si="8"/>
        <v>134</v>
      </c>
      <c r="P128" s="40">
        <f t="shared" si="9"/>
        <v>46113</v>
      </c>
    </row>
    <row r="129" spans="1:16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36">
        <f t="shared" ca="1" si="5"/>
        <v>46304</v>
      </c>
      <c r="M129" s="37">
        <f t="shared" ca="1" si="6"/>
        <v>46304.551230092591</v>
      </c>
      <c r="N129" s="38">
        <f t="shared" si="7"/>
        <v>6</v>
      </c>
      <c r="O129" s="39">
        <f t="shared" ca="1" si="8"/>
        <v>260</v>
      </c>
      <c r="P129" s="40">
        <f t="shared" si="9"/>
        <v>46113</v>
      </c>
    </row>
    <row r="130" spans="1:16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36">
        <f t="shared" ca="1" si="5"/>
        <v>46304</v>
      </c>
      <c r="M130" s="37">
        <f t="shared" ca="1" si="6"/>
        <v>46304.551230092591</v>
      </c>
      <c r="N130" s="38">
        <f t="shared" si="7"/>
        <v>4</v>
      </c>
      <c r="O130" s="39">
        <f t="shared" ca="1" si="8"/>
        <v>144</v>
      </c>
      <c r="P130" s="40">
        <f t="shared" si="9"/>
        <v>46113</v>
      </c>
    </row>
    <row r="131" spans="1:16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36">
        <f t="shared" ref="L131:L194" ca="1" si="10">TODAY()</f>
        <v>46304</v>
      </c>
      <c r="M131" s="37">
        <f t="shared" ref="M131:M194" ca="1" si="11">NOW()</f>
        <v>46304.551230092591</v>
      </c>
      <c r="N131" s="38">
        <f t="shared" ref="N131:N194" si="12">(J131-I131)</f>
        <v>6</v>
      </c>
      <c r="O131" s="39">
        <f t="shared" ref="O131:O194" ca="1" si="13">(L131-I131)</f>
        <v>179</v>
      </c>
      <c r="P131" s="40">
        <f t="shared" ref="P131:P194" si="14">DATE(2026,4,1)</f>
        <v>46113</v>
      </c>
    </row>
    <row r="132" spans="1:16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36">
        <f t="shared" ca="1" si="10"/>
        <v>46304</v>
      </c>
      <c r="M132" s="37">
        <f t="shared" ca="1" si="11"/>
        <v>46304.551230092591</v>
      </c>
      <c r="N132" s="38">
        <f t="shared" si="12"/>
        <v>5</v>
      </c>
      <c r="O132" s="39">
        <f t="shared" ca="1" si="13"/>
        <v>136</v>
      </c>
      <c r="P132" s="40">
        <f t="shared" si="14"/>
        <v>46113</v>
      </c>
    </row>
    <row r="133" spans="1:16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36">
        <f t="shared" ca="1" si="10"/>
        <v>46304</v>
      </c>
      <c r="M133" s="37">
        <f t="shared" ca="1" si="11"/>
        <v>46304.551230092591</v>
      </c>
      <c r="N133" s="38">
        <f t="shared" si="12"/>
        <v>10</v>
      </c>
      <c r="O133" s="39">
        <f t="shared" ca="1" si="13"/>
        <v>280</v>
      </c>
      <c r="P133" s="40">
        <f t="shared" si="14"/>
        <v>46113</v>
      </c>
    </row>
    <row r="134" spans="1:16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36">
        <f t="shared" ca="1" si="10"/>
        <v>46304</v>
      </c>
      <c r="M134" s="37">
        <f t="shared" ca="1" si="11"/>
        <v>46304.551230092591</v>
      </c>
      <c r="N134" s="38">
        <f t="shared" si="12"/>
        <v>9</v>
      </c>
      <c r="O134" s="39">
        <f t="shared" ca="1" si="13"/>
        <v>192</v>
      </c>
      <c r="P134" s="40">
        <f t="shared" si="14"/>
        <v>46113</v>
      </c>
    </row>
    <row r="135" spans="1:16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36">
        <f t="shared" ca="1" si="10"/>
        <v>46304</v>
      </c>
      <c r="M135" s="37">
        <f t="shared" ca="1" si="11"/>
        <v>46304.551230092591</v>
      </c>
      <c r="N135" s="38">
        <f t="shared" si="12"/>
        <v>2</v>
      </c>
      <c r="O135" s="39">
        <f t="shared" ca="1" si="13"/>
        <v>156</v>
      </c>
      <c r="P135" s="40">
        <f t="shared" si="14"/>
        <v>46113</v>
      </c>
    </row>
    <row r="136" spans="1:16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36">
        <f t="shared" ca="1" si="10"/>
        <v>46304</v>
      </c>
      <c r="M136" s="37">
        <f t="shared" ca="1" si="11"/>
        <v>46304.551230092591</v>
      </c>
      <c r="N136" s="38">
        <f t="shared" si="12"/>
        <v>1</v>
      </c>
      <c r="O136" s="39">
        <f t="shared" ca="1" si="13"/>
        <v>263</v>
      </c>
      <c r="P136" s="40">
        <f t="shared" si="14"/>
        <v>46113</v>
      </c>
    </row>
    <row r="137" spans="1:16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36">
        <f t="shared" ca="1" si="10"/>
        <v>46304</v>
      </c>
      <c r="M137" s="37">
        <f t="shared" ca="1" si="11"/>
        <v>46304.551230092591</v>
      </c>
      <c r="N137" s="38">
        <f t="shared" si="12"/>
        <v>6</v>
      </c>
      <c r="O137" s="39">
        <f t="shared" ca="1" si="13"/>
        <v>248</v>
      </c>
      <c r="P137" s="40">
        <f t="shared" si="14"/>
        <v>46113</v>
      </c>
    </row>
    <row r="138" spans="1:16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36">
        <f t="shared" ca="1" si="10"/>
        <v>46304</v>
      </c>
      <c r="M138" s="37">
        <f t="shared" ca="1" si="11"/>
        <v>46304.551230092591</v>
      </c>
      <c r="N138" s="38">
        <f t="shared" si="12"/>
        <v>6</v>
      </c>
      <c r="O138" s="39">
        <f t="shared" ca="1" si="13"/>
        <v>120</v>
      </c>
      <c r="P138" s="40">
        <f t="shared" si="14"/>
        <v>46113</v>
      </c>
    </row>
    <row r="139" spans="1:16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36">
        <f t="shared" ca="1" si="10"/>
        <v>46304</v>
      </c>
      <c r="M139" s="37">
        <f t="shared" ca="1" si="11"/>
        <v>46304.551230092591</v>
      </c>
      <c r="N139" s="38">
        <f t="shared" si="12"/>
        <v>8</v>
      </c>
      <c r="O139" s="39">
        <f t="shared" ca="1" si="13"/>
        <v>220</v>
      </c>
      <c r="P139" s="40">
        <f t="shared" si="14"/>
        <v>46113</v>
      </c>
    </row>
    <row r="140" spans="1:16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36">
        <f t="shared" ca="1" si="10"/>
        <v>46304</v>
      </c>
      <c r="M140" s="37">
        <f t="shared" ca="1" si="11"/>
        <v>46304.551230092591</v>
      </c>
      <c r="N140" s="38">
        <f t="shared" si="12"/>
        <v>6</v>
      </c>
      <c r="O140" s="39">
        <f t="shared" ca="1" si="13"/>
        <v>211</v>
      </c>
      <c r="P140" s="40">
        <f t="shared" si="14"/>
        <v>46113</v>
      </c>
    </row>
    <row r="141" spans="1:16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36">
        <f t="shared" ca="1" si="10"/>
        <v>46304</v>
      </c>
      <c r="M141" s="37">
        <f t="shared" ca="1" si="11"/>
        <v>46304.551230092591</v>
      </c>
      <c r="N141" s="38">
        <f t="shared" si="12"/>
        <v>4</v>
      </c>
      <c r="O141" s="39">
        <f t="shared" ca="1" si="13"/>
        <v>243</v>
      </c>
      <c r="P141" s="40">
        <f t="shared" si="14"/>
        <v>46113</v>
      </c>
    </row>
    <row r="142" spans="1:16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36">
        <f t="shared" ca="1" si="10"/>
        <v>46304</v>
      </c>
      <c r="M142" s="37">
        <f t="shared" ca="1" si="11"/>
        <v>46304.551230092591</v>
      </c>
      <c r="N142" s="38">
        <f t="shared" si="12"/>
        <v>10</v>
      </c>
      <c r="O142" s="39">
        <f t="shared" ca="1" si="13"/>
        <v>261</v>
      </c>
      <c r="P142" s="40">
        <f t="shared" si="14"/>
        <v>46113</v>
      </c>
    </row>
    <row r="143" spans="1:16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36">
        <f t="shared" ca="1" si="10"/>
        <v>46304</v>
      </c>
      <c r="M143" s="37">
        <f t="shared" ca="1" si="11"/>
        <v>46304.551230092591</v>
      </c>
      <c r="N143" s="38">
        <f t="shared" si="12"/>
        <v>7</v>
      </c>
      <c r="O143" s="39">
        <f t="shared" ca="1" si="13"/>
        <v>240</v>
      </c>
      <c r="P143" s="40">
        <f t="shared" si="14"/>
        <v>46113</v>
      </c>
    </row>
    <row r="144" spans="1:16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36">
        <f t="shared" ca="1" si="10"/>
        <v>46304</v>
      </c>
      <c r="M144" s="37">
        <f t="shared" ca="1" si="11"/>
        <v>46304.551230092591</v>
      </c>
      <c r="N144" s="38">
        <f t="shared" si="12"/>
        <v>7</v>
      </c>
      <c r="O144" s="39">
        <f t="shared" ca="1" si="13"/>
        <v>144</v>
      </c>
      <c r="P144" s="40">
        <f t="shared" si="14"/>
        <v>46113</v>
      </c>
    </row>
    <row r="145" spans="1:16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36">
        <f t="shared" ca="1" si="10"/>
        <v>46304</v>
      </c>
      <c r="M145" s="37">
        <f t="shared" ca="1" si="11"/>
        <v>46304.551230092591</v>
      </c>
      <c r="N145" s="38">
        <f t="shared" si="12"/>
        <v>2</v>
      </c>
      <c r="O145" s="39">
        <f t="shared" ca="1" si="13"/>
        <v>166</v>
      </c>
      <c r="P145" s="40">
        <f t="shared" si="14"/>
        <v>46113</v>
      </c>
    </row>
    <row r="146" spans="1:16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36">
        <f t="shared" ca="1" si="10"/>
        <v>46304</v>
      </c>
      <c r="M146" s="37">
        <f t="shared" ca="1" si="11"/>
        <v>46304.551230092591</v>
      </c>
      <c r="N146" s="38">
        <f t="shared" si="12"/>
        <v>10</v>
      </c>
      <c r="O146" s="39">
        <f t="shared" ca="1" si="13"/>
        <v>202</v>
      </c>
      <c r="P146" s="40">
        <f t="shared" si="14"/>
        <v>46113</v>
      </c>
    </row>
    <row r="147" spans="1:16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36">
        <f t="shared" ca="1" si="10"/>
        <v>46304</v>
      </c>
      <c r="M147" s="37">
        <f t="shared" ca="1" si="11"/>
        <v>46304.551230092591</v>
      </c>
      <c r="N147" s="38">
        <f t="shared" si="12"/>
        <v>7</v>
      </c>
      <c r="O147" s="39">
        <f t="shared" ca="1" si="13"/>
        <v>114</v>
      </c>
      <c r="P147" s="40">
        <f t="shared" si="14"/>
        <v>46113</v>
      </c>
    </row>
    <row r="148" spans="1:16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36">
        <f t="shared" ca="1" si="10"/>
        <v>46304</v>
      </c>
      <c r="M148" s="37">
        <f t="shared" ca="1" si="11"/>
        <v>46304.551230092591</v>
      </c>
      <c r="N148" s="38">
        <f t="shared" si="12"/>
        <v>1</v>
      </c>
      <c r="O148" s="39">
        <f t="shared" ca="1" si="13"/>
        <v>150</v>
      </c>
      <c r="P148" s="40">
        <f t="shared" si="14"/>
        <v>46113</v>
      </c>
    </row>
    <row r="149" spans="1:16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36">
        <f t="shared" ca="1" si="10"/>
        <v>46304</v>
      </c>
      <c r="M149" s="37">
        <f t="shared" ca="1" si="11"/>
        <v>46304.551230092591</v>
      </c>
      <c r="N149" s="38">
        <f t="shared" si="12"/>
        <v>2</v>
      </c>
      <c r="O149" s="39">
        <f t="shared" ca="1" si="13"/>
        <v>274</v>
      </c>
      <c r="P149" s="40">
        <f t="shared" si="14"/>
        <v>46113</v>
      </c>
    </row>
    <row r="150" spans="1:16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36">
        <f t="shared" ca="1" si="10"/>
        <v>46304</v>
      </c>
      <c r="M150" s="37">
        <f t="shared" ca="1" si="11"/>
        <v>46304.551230092591</v>
      </c>
      <c r="N150" s="38">
        <f t="shared" si="12"/>
        <v>1</v>
      </c>
      <c r="O150" s="39">
        <f t="shared" ca="1" si="13"/>
        <v>251</v>
      </c>
      <c r="P150" s="40">
        <f t="shared" si="14"/>
        <v>46113</v>
      </c>
    </row>
    <row r="151" spans="1:16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36">
        <f t="shared" ca="1" si="10"/>
        <v>46304</v>
      </c>
      <c r="M151" s="37">
        <f t="shared" ca="1" si="11"/>
        <v>46304.551230092591</v>
      </c>
      <c r="N151" s="38">
        <f t="shared" si="12"/>
        <v>10</v>
      </c>
      <c r="O151" s="39">
        <f t="shared" ca="1" si="13"/>
        <v>161</v>
      </c>
      <c r="P151" s="40">
        <f t="shared" si="14"/>
        <v>46113</v>
      </c>
    </row>
    <row r="152" spans="1:16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36">
        <f t="shared" ca="1" si="10"/>
        <v>46304</v>
      </c>
      <c r="M152" s="37">
        <f t="shared" ca="1" si="11"/>
        <v>46304.551230092591</v>
      </c>
      <c r="N152" s="38">
        <f t="shared" si="12"/>
        <v>5</v>
      </c>
      <c r="O152" s="39">
        <f t="shared" ca="1" si="13"/>
        <v>280</v>
      </c>
      <c r="P152" s="40">
        <f t="shared" si="14"/>
        <v>46113</v>
      </c>
    </row>
    <row r="153" spans="1:16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36">
        <f t="shared" ca="1" si="10"/>
        <v>46304</v>
      </c>
      <c r="M153" s="37">
        <f t="shared" ca="1" si="11"/>
        <v>46304.551230092591</v>
      </c>
      <c r="N153" s="38">
        <f t="shared" si="12"/>
        <v>8</v>
      </c>
      <c r="O153" s="39">
        <f t="shared" ca="1" si="13"/>
        <v>242</v>
      </c>
      <c r="P153" s="40">
        <f t="shared" si="14"/>
        <v>46113</v>
      </c>
    </row>
    <row r="154" spans="1:16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36">
        <f t="shared" ca="1" si="10"/>
        <v>46304</v>
      </c>
      <c r="M154" s="37">
        <f t="shared" ca="1" si="11"/>
        <v>46304.551230092591</v>
      </c>
      <c r="N154" s="38">
        <f t="shared" si="12"/>
        <v>3</v>
      </c>
      <c r="O154" s="39">
        <f t="shared" ca="1" si="13"/>
        <v>235</v>
      </c>
      <c r="P154" s="40">
        <f t="shared" si="14"/>
        <v>46113</v>
      </c>
    </row>
    <row r="155" spans="1:16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36">
        <f t="shared" ca="1" si="10"/>
        <v>46304</v>
      </c>
      <c r="M155" s="37">
        <f t="shared" ca="1" si="11"/>
        <v>46304.551230092591</v>
      </c>
      <c r="N155" s="38">
        <f t="shared" si="12"/>
        <v>5</v>
      </c>
      <c r="O155" s="39">
        <f t="shared" ca="1" si="13"/>
        <v>126</v>
      </c>
      <c r="P155" s="40">
        <f t="shared" si="14"/>
        <v>46113</v>
      </c>
    </row>
    <row r="156" spans="1:16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36">
        <f t="shared" ca="1" si="10"/>
        <v>46304</v>
      </c>
      <c r="M156" s="37">
        <f t="shared" ca="1" si="11"/>
        <v>46304.551230092591</v>
      </c>
      <c r="N156" s="38">
        <f t="shared" si="12"/>
        <v>3</v>
      </c>
      <c r="O156" s="39">
        <f t="shared" ca="1" si="13"/>
        <v>211</v>
      </c>
      <c r="P156" s="40">
        <f t="shared" si="14"/>
        <v>46113</v>
      </c>
    </row>
    <row r="157" spans="1:16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36">
        <f t="shared" ca="1" si="10"/>
        <v>46304</v>
      </c>
      <c r="M157" s="37">
        <f t="shared" ca="1" si="11"/>
        <v>46304.551230092591</v>
      </c>
      <c r="N157" s="38">
        <f t="shared" si="12"/>
        <v>4</v>
      </c>
      <c r="O157" s="39">
        <f t="shared" ca="1" si="13"/>
        <v>279</v>
      </c>
      <c r="P157" s="40">
        <f t="shared" si="14"/>
        <v>46113</v>
      </c>
    </row>
    <row r="158" spans="1:16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36">
        <f t="shared" ca="1" si="10"/>
        <v>46304</v>
      </c>
      <c r="M158" s="37">
        <f t="shared" ca="1" si="11"/>
        <v>46304.551230092591</v>
      </c>
      <c r="N158" s="38">
        <f t="shared" si="12"/>
        <v>4</v>
      </c>
      <c r="O158" s="39">
        <f t="shared" ca="1" si="13"/>
        <v>228</v>
      </c>
      <c r="P158" s="40">
        <f t="shared" si="14"/>
        <v>46113</v>
      </c>
    </row>
    <row r="159" spans="1:16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36">
        <f t="shared" ca="1" si="10"/>
        <v>46304</v>
      </c>
      <c r="M159" s="37">
        <f t="shared" ca="1" si="11"/>
        <v>46304.551230092591</v>
      </c>
      <c r="N159" s="38">
        <f t="shared" si="12"/>
        <v>3</v>
      </c>
      <c r="O159" s="39">
        <f t="shared" ca="1" si="13"/>
        <v>225</v>
      </c>
      <c r="P159" s="40">
        <f t="shared" si="14"/>
        <v>46113</v>
      </c>
    </row>
    <row r="160" spans="1:16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36">
        <f t="shared" ca="1" si="10"/>
        <v>46304</v>
      </c>
      <c r="M160" s="37">
        <f t="shared" ca="1" si="11"/>
        <v>46304.551230092591</v>
      </c>
      <c r="N160" s="38">
        <f t="shared" si="12"/>
        <v>3</v>
      </c>
      <c r="O160" s="39">
        <f t="shared" ca="1" si="13"/>
        <v>120</v>
      </c>
      <c r="P160" s="40">
        <f t="shared" si="14"/>
        <v>46113</v>
      </c>
    </row>
    <row r="161" spans="1:16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36">
        <f t="shared" ca="1" si="10"/>
        <v>46304</v>
      </c>
      <c r="M161" s="37">
        <f t="shared" ca="1" si="11"/>
        <v>46304.551230092591</v>
      </c>
      <c r="N161" s="38">
        <f t="shared" si="12"/>
        <v>5</v>
      </c>
      <c r="O161" s="39">
        <f t="shared" ca="1" si="13"/>
        <v>162</v>
      </c>
      <c r="P161" s="40">
        <f t="shared" si="14"/>
        <v>46113</v>
      </c>
    </row>
    <row r="162" spans="1:16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36">
        <f t="shared" ca="1" si="10"/>
        <v>46304</v>
      </c>
      <c r="M162" s="37">
        <f t="shared" ca="1" si="11"/>
        <v>46304.551230092591</v>
      </c>
      <c r="N162" s="38">
        <f t="shared" si="12"/>
        <v>4</v>
      </c>
      <c r="O162" s="39">
        <f t="shared" ca="1" si="13"/>
        <v>199</v>
      </c>
      <c r="P162" s="40">
        <f t="shared" si="14"/>
        <v>46113</v>
      </c>
    </row>
    <row r="163" spans="1:16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36">
        <f t="shared" ca="1" si="10"/>
        <v>46304</v>
      </c>
      <c r="M163" s="37">
        <f t="shared" ca="1" si="11"/>
        <v>46304.551230092591</v>
      </c>
      <c r="N163" s="38">
        <f t="shared" si="12"/>
        <v>1</v>
      </c>
      <c r="O163" s="39">
        <f t="shared" ca="1" si="13"/>
        <v>204</v>
      </c>
      <c r="P163" s="40">
        <f t="shared" si="14"/>
        <v>46113</v>
      </c>
    </row>
    <row r="164" spans="1:16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36">
        <f t="shared" ca="1" si="10"/>
        <v>46304</v>
      </c>
      <c r="M164" s="37">
        <f t="shared" ca="1" si="11"/>
        <v>46304.551230092591</v>
      </c>
      <c r="N164" s="38">
        <f t="shared" si="12"/>
        <v>5</v>
      </c>
      <c r="O164" s="39">
        <f t="shared" ca="1" si="13"/>
        <v>223</v>
      </c>
      <c r="P164" s="40">
        <f t="shared" si="14"/>
        <v>46113</v>
      </c>
    </row>
    <row r="165" spans="1:16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36">
        <f t="shared" ca="1" si="10"/>
        <v>46304</v>
      </c>
      <c r="M165" s="37">
        <f t="shared" ca="1" si="11"/>
        <v>46304.551230092591</v>
      </c>
      <c r="N165" s="38">
        <f t="shared" si="12"/>
        <v>7</v>
      </c>
      <c r="O165" s="39">
        <f t="shared" ca="1" si="13"/>
        <v>108</v>
      </c>
      <c r="P165" s="40">
        <f t="shared" si="14"/>
        <v>46113</v>
      </c>
    </row>
    <row r="166" spans="1:16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36">
        <f t="shared" ca="1" si="10"/>
        <v>46304</v>
      </c>
      <c r="M166" s="37">
        <f t="shared" ca="1" si="11"/>
        <v>46304.551230092591</v>
      </c>
      <c r="N166" s="38">
        <f t="shared" si="12"/>
        <v>8</v>
      </c>
      <c r="O166" s="39">
        <f t="shared" ca="1" si="13"/>
        <v>262</v>
      </c>
      <c r="P166" s="40">
        <f t="shared" si="14"/>
        <v>46113</v>
      </c>
    </row>
    <row r="167" spans="1:16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36">
        <f t="shared" ca="1" si="10"/>
        <v>46304</v>
      </c>
      <c r="M167" s="37">
        <f t="shared" ca="1" si="11"/>
        <v>46304.551230092591</v>
      </c>
      <c r="N167" s="38">
        <f t="shared" si="12"/>
        <v>1</v>
      </c>
      <c r="O167" s="39">
        <f t="shared" ca="1" si="13"/>
        <v>212</v>
      </c>
      <c r="P167" s="40">
        <f t="shared" si="14"/>
        <v>46113</v>
      </c>
    </row>
    <row r="168" spans="1:16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36">
        <f t="shared" ca="1" si="10"/>
        <v>46304</v>
      </c>
      <c r="M168" s="37">
        <f t="shared" ca="1" si="11"/>
        <v>46304.551230092591</v>
      </c>
      <c r="N168" s="38">
        <f t="shared" si="12"/>
        <v>10</v>
      </c>
      <c r="O168" s="39">
        <f t="shared" ca="1" si="13"/>
        <v>144</v>
      </c>
      <c r="P168" s="40">
        <f t="shared" si="14"/>
        <v>46113</v>
      </c>
    </row>
    <row r="169" spans="1:16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36">
        <f t="shared" ca="1" si="10"/>
        <v>46304</v>
      </c>
      <c r="M169" s="37">
        <f t="shared" ca="1" si="11"/>
        <v>46304.551230092591</v>
      </c>
      <c r="N169" s="38">
        <f t="shared" si="12"/>
        <v>10</v>
      </c>
      <c r="O169" s="39">
        <f t="shared" ca="1" si="13"/>
        <v>174</v>
      </c>
      <c r="P169" s="40">
        <f t="shared" si="14"/>
        <v>46113</v>
      </c>
    </row>
    <row r="170" spans="1:16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36">
        <f t="shared" ca="1" si="10"/>
        <v>46304</v>
      </c>
      <c r="M170" s="37">
        <f t="shared" ca="1" si="11"/>
        <v>46304.551230092591</v>
      </c>
      <c r="N170" s="38">
        <f t="shared" si="12"/>
        <v>9</v>
      </c>
      <c r="O170" s="39">
        <f t="shared" ca="1" si="13"/>
        <v>183</v>
      </c>
      <c r="P170" s="40">
        <f t="shared" si="14"/>
        <v>46113</v>
      </c>
    </row>
    <row r="171" spans="1:16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36">
        <f t="shared" ca="1" si="10"/>
        <v>46304</v>
      </c>
      <c r="M171" s="37">
        <f t="shared" ca="1" si="11"/>
        <v>46304.551230092591</v>
      </c>
      <c r="N171" s="38">
        <f t="shared" si="12"/>
        <v>1</v>
      </c>
      <c r="O171" s="39">
        <f t="shared" ca="1" si="13"/>
        <v>199</v>
      </c>
      <c r="P171" s="40">
        <f t="shared" si="14"/>
        <v>46113</v>
      </c>
    </row>
    <row r="172" spans="1:16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36">
        <f t="shared" ca="1" si="10"/>
        <v>46304</v>
      </c>
      <c r="M172" s="37">
        <f t="shared" ca="1" si="11"/>
        <v>46304.551230092591</v>
      </c>
      <c r="N172" s="38">
        <f t="shared" si="12"/>
        <v>5</v>
      </c>
      <c r="O172" s="39">
        <f t="shared" ca="1" si="13"/>
        <v>149</v>
      </c>
      <c r="P172" s="40">
        <f t="shared" si="14"/>
        <v>46113</v>
      </c>
    </row>
    <row r="173" spans="1:16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36">
        <f t="shared" ca="1" si="10"/>
        <v>46304</v>
      </c>
      <c r="M173" s="37">
        <f t="shared" ca="1" si="11"/>
        <v>46304.551230092591</v>
      </c>
      <c r="N173" s="38">
        <f t="shared" si="12"/>
        <v>9</v>
      </c>
      <c r="O173" s="39">
        <f t="shared" ca="1" si="13"/>
        <v>184</v>
      </c>
      <c r="P173" s="40">
        <f t="shared" si="14"/>
        <v>46113</v>
      </c>
    </row>
    <row r="174" spans="1:16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36">
        <f t="shared" ca="1" si="10"/>
        <v>46304</v>
      </c>
      <c r="M174" s="37">
        <f t="shared" ca="1" si="11"/>
        <v>46304.551230092591</v>
      </c>
      <c r="N174" s="38">
        <f t="shared" si="12"/>
        <v>10</v>
      </c>
      <c r="O174" s="39">
        <f t="shared" ca="1" si="13"/>
        <v>254</v>
      </c>
      <c r="P174" s="40">
        <f t="shared" si="14"/>
        <v>46113</v>
      </c>
    </row>
    <row r="175" spans="1:16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36">
        <f t="shared" ca="1" si="10"/>
        <v>46304</v>
      </c>
      <c r="M175" s="37">
        <f t="shared" ca="1" si="11"/>
        <v>46304.551230092591</v>
      </c>
      <c r="N175" s="38">
        <f t="shared" si="12"/>
        <v>3</v>
      </c>
      <c r="O175" s="39">
        <f t="shared" ca="1" si="13"/>
        <v>238</v>
      </c>
      <c r="P175" s="40">
        <f t="shared" si="14"/>
        <v>46113</v>
      </c>
    </row>
    <row r="176" spans="1:16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36">
        <f t="shared" ca="1" si="10"/>
        <v>46304</v>
      </c>
      <c r="M176" s="37">
        <f t="shared" ca="1" si="11"/>
        <v>46304.551230092591</v>
      </c>
      <c r="N176" s="38">
        <f t="shared" si="12"/>
        <v>6</v>
      </c>
      <c r="O176" s="39">
        <f t="shared" ca="1" si="13"/>
        <v>216</v>
      </c>
      <c r="P176" s="40">
        <f t="shared" si="14"/>
        <v>46113</v>
      </c>
    </row>
    <row r="177" spans="1:16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36">
        <f t="shared" ca="1" si="10"/>
        <v>46304</v>
      </c>
      <c r="M177" s="37">
        <f t="shared" ca="1" si="11"/>
        <v>46304.551230092591</v>
      </c>
      <c r="N177" s="38">
        <f t="shared" si="12"/>
        <v>8</v>
      </c>
      <c r="O177" s="39">
        <f t="shared" ca="1" si="13"/>
        <v>256</v>
      </c>
      <c r="P177" s="40">
        <f t="shared" si="14"/>
        <v>46113</v>
      </c>
    </row>
    <row r="178" spans="1:16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36">
        <f t="shared" ca="1" si="10"/>
        <v>46304</v>
      </c>
      <c r="M178" s="37">
        <f t="shared" ca="1" si="11"/>
        <v>46304.551230092591</v>
      </c>
      <c r="N178" s="38">
        <f t="shared" si="12"/>
        <v>10</v>
      </c>
      <c r="O178" s="39">
        <f t="shared" ca="1" si="13"/>
        <v>135</v>
      </c>
      <c r="P178" s="40">
        <f t="shared" si="14"/>
        <v>46113</v>
      </c>
    </row>
    <row r="179" spans="1:16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36">
        <f t="shared" ca="1" si="10"/>
        <v>46304</v>
      </c>
      <c r="M179" s="37">
        <f t="shared" ca="1" si="11"/>
        <v>46304.551230092591</v>
      </c>
      <c r="N179" s="38">
        <f t="shared" si="12"/>
        <v>6</v>
      </c>
      <c r="O179" s="39">
        <f t="shared" ca="1" si="13"/>
        <v>193</v>
      </c>
      <c r="P179" s="40">
        <f t="shared" si="14"/>
        <v>46113</v>
      </c>
    </row>
    <row r="180" spans="1:16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36">
        <f t="shared" ca="1" si="10"/>
        <v>46304</v>
      </c>
      <c r="M180" s="37">
        <f t="shared" ca="1" si="11"/>
        <v>46304.551230092591</v>
      </c>
      <c r="N180" s="38">
        <f t="shared" si="12"/>
        <v>3</v>
      </c>
      <c r="O180" s="39">
        <f t="shared" ca="1" si="13"/>
        <v>149</v>
      </c>
      <c r="P180" s="40">
        <f t="shared" si="14"/>
        <v>46113</v>
      </c>
    </row>
    <row r="181" spans="1:16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36">
        <f t="shared" ca="1" si="10"/>
        <v>46304</v>
      </c>
      <c r="M181" s="37">
        <f t="shared" ca="1" si="11"/>
        <v>46304.551230092591</v>
      </c>
      <c r="N181" s="38">
        <f t="shared" si="12"/>
        <v>10</v>
      </c>
      <c r="O181" s="39">
        <f t="shared" ca="1" si="13"/>
        <v>193</v>
      </c>
      <c r="P181" s="40">
        <f t="shared" si="14"/>
        <v>46113</v>
      </c>
    </row>
    <row r="182" spans="1:16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36">
        <f t="shared" ca="1" si="10"/>
        <v>46304</v>
      </c>
      <c r="M182" s="37">
        <f t="shared" ca="1" si="11"/>
        <v>46304.551230092591</v>
      </c>
      <c r="N182" s="38">
        <f t="shared" si="12"/>
        <v>2</v>
      </c>
      <c r="O182" s="39">
        <f t="shared" ca="1" si="13"/>
        <v>271</v>
      </c>
      <c r="P182" s="40">
        <f t="shared" si="14"/>
        <v>46113</v>
      </c>
    </row>
    <row r="183" spans="1:16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36">
        <f t="shared" ca="1" si="10"/>
        <v>46304</v>
      </c>
      <c r="M183" s="37">
        <f t="shared" ca="1" si="11"/>
        <v>46304.551230092591</v>
      </c>
      <c r="N183" s="38">
        <f t="shared" si="12"/>
        <v>6</v>
      </c>
      <c r="O183" s="39">
        <f t="shared" ca="1" si="13"/>
        <v>196</v>
      </c>
      <c r="P183" s="40">
        <f t="shared" si="14"/>
        <v>46113</v>
      </c>
    </row>
    <row r="184" spans="1:16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36">
        <f t="shared" ca="1" si="10"/>
        <v>46304</v>
      </c>
      <c r="M184" s="37">
        <f t="shared" ca="1" si="11"/>
        <v>46304.551230092591</v>
      </c>
      <c r="N184" s="38">
        <f t="shared" si="12"/>
        <v>2</v>
      </c>
      <c r="O184" s="39">
        <f t="shared" ca="1" si="13"/>
        <v>195</v>
      </c>
      <c r="P184" s="40">
        <f t="shared" si="14"/>
        <v>46113</v>
      </c>
    </row>
    <row r="185" spans="1:16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36">
        <f t="shared" ca="1" si="10"/>
        <v>46304</v>
      </c>
      <c r="M185" s="37">
        <f t="shared" ca="1" si="11"/>
        <v>46304.551230092591</v>
      </c>
      <c r="N185" s="38">
        <f t="shared" si="12"/>
        <v>8</v>
      </c>
      <c r="O185" s="39">
        <f t="shared" ca="1" si="13"/>
        <v>159</v>
      </c>
      <c r="P185" s="40">
        <f t="shared" si="14"/>
        <v>46113</v>
      </c>
    </row>
    <row r="186" spans="1:16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36">
        <f t="shared" ca="1" si="10"/>
        <v>46304</v>
      </c>
      <c r="M186" s="37">
        <f t="shared" ca="1" si="11"/>
        <v>46304.551230092591</v>
      </c>
      <c r="N186" s="38">
        <f t="shared" si="12"/>
        <v>3</v>
      </c>
      <c r="O186" s="39">
        <f t="shared" ca="1" si="13"/>
        <v>151</v>
      </c>
      <c r="P186" s="40">
        <f t="shared" si="14"/>
        <v>46113</v>
      </c>
    </row>
    <row r="187" spans="1:16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36">
        <f t="shared" ca="1" si="10"/>
        <v>46304</v>
      </c>
      <c r="M187" s="37">
        <f t="shared" ca="1" si="11"/>
        <v>46304.551230092591</v>
      </c>
      <c r="N187" s="38">
        <f t="shared" si="12"/>
        <v>8</v>
      </c>
      <c r="O187" s="39">
        <f t="shared" ca="1" si="13"/>
        <v>116</v>
      </c>
      <c r="P187" s="40">
        <f t="shared" si="14"/>
        <v>46113</v>
      </c>
    </row>
    <row r="188" spans="1:16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36">
        <f t="shared" ca="1" si="10"/>
        <v>46304</v>
      </c>
      <c r="M188" s="37">
        <f t="shared" ca="1" si="11"/>
        <v>46304.551230092591</v>
      </c>
      <c r="N188" s="38">
        <f t="shared" si="12"/>
        <v>6</v>
      </c>
      <c r="O188" s="39">
        <f t="shared" ca="1" si="13"/>
        <v>126</v>
      </c>
      <c r="P188" s="40">
        <f t="shared" si="14"/>
        <v>46113</v>
      </c>
    </row>
    <row r="189" spans="1:16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36">
        <f t="shared" ca="1" si="10"/>
        <v>46304</v>
      </c>
      <c r="M189" s="37">
        <f t="shared" ca="1" si="11"/>
        <v>46304.551230092591</v>
      </c>
      <c r="N189" s="38">
        <f t="shared" si="12"/>
        <v>5</v>
      </c>
      <c r="O189" s="39">
        <f t="shared" ca="1" si="13"/>
        <v>167</v>
      </c>
      <c r="P189" s="40">
        <f t="shared" si="14"/>
        <v>46113</v>
      </c>
    </row>
    <row r="190" spans="1:16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36">
        <f t="shared" ca="1" si="10"/>
        <v>46304</v>
      </c>
      <c r="M190" s="37">
        <f t="shared" ca="1" si="11"/>
        <v>46304.551230092591</v>
      </c>
      <c r="N190" s="38">
        <f t="shared" si="12"/>
        <v>1</v>
      </c>
      <c r="O190" s="39">
        <f t="shared" ca="1" si="13"/>
        <v>120</v>
      </c>
      <c r="P190" s="40">
        <f t="shared" si="14"/>
        <v>46113</v>
      </c>
    </row>
    <row r="191" spans="1:16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36">
        <f t="shared" ca="1" si="10"/>
        <v>46304</v>
      </c>
      <c r="M191" s="37">
        <f t="shared" ca="1" si="11"/>
        <v>46304.551230092591</v>
      </c>
      <c r="N191" s="38">
        <f t="shared" si="12"/>
        <v>10</v>
      </c>
      <c r="O191" s="39">
        <f t="shared" ca="1" si="13"/>
        <v>252</v>
      </c>
      <c r="P191" s="40">
        <f t="shared" si="14"/>
        <v>46113</v>
      </c>
    </row>
    <row r="192" spans="1:16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36">
        <f t="shared" ca="1" si="10"/>
        <v>46304</v>
      </c>
      <c r="M192" s="37">
        <f t="shared" ca="1" si="11"/>
        <v>46304.551230092591</v>
      </c>
      <c r="N192" s="38">
        <f t="shared" si="12"/>
        <v>7</v>
      </c>
      <c r="O192" s="39">
        <f t="shared" ca="1" si="13"/>
        <v>155</v>
      </c>
      <c r="P192" s="40">
        <f t="shared" si="14"/>
        <v>46113</v>
      </c>
    </row>
    <row r="193" spans="1:16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36">
        <f t="shared" ca="1" si="10"/>
        <v>46304</v>
      </c>
      <c r="M193" s="37">
        <f t="shared" ca="1" si="11"/>
        <v>46304.551230092591</v>
      </c>
      <c r="N193" s="38">
        <f t="shared" si="12"/>
        <v>6</v>
      </c>
      <c r="O193" s="39">
        <f t="shared" ca="1" si="13"/>
        <v>215</v>
      </c>
      <c r="P193" s="40">
        <f t="shared" si="14"/>
        <v>46113</v>
      </c>
    </row>
    <row r="194" spans="1:16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36">
        <f t="shared" ca="1" si="10"/>
        <v>46304</v>
      </c>
      <c r="M194" s="37">
        <f t="shared" ca="1" si="11"/>
        <v>46304.551230092591</v>
      </c>
      <c r="N194" s="38">
        <f t="shared" si="12"/>
        <v>2</v>
      </c>
      <c r="O194" s="39">
        <f t="shared" ca="1" si="13"/>
        <v>194</v>
      </c>
      <c r="P194" s="40">
        <f t="shared" si="14"/>
        <v>46113</v>
      </c>
    </row>
    <row r="195" spans="1:16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36">
        <f t="shared" ref="L195:L258" ca="1" si="15">TODAY()</f>
        <v>46304</v>
      </c>
      <c r="M195" s="37">
        <f t="shared" ref="M195:M258" ca="1" si="16">NOW()</f>
        <v>46304.551230092591</v>
      </c>
      <c r="N195" s="38">
        <f t="shared" ref="N195:N258" si="17">(J195-I195)</f>
        <v>4</v>
      </c>
      <c r="O195" s="39">
        <f t="shared" ref="O195:O258" ca="1" si="18">(L195-I195)</f>
        <v>175</v>
      </c>
      <c r="P195" s="40">
        <f t="shared" ref="P195:P258" si="19">DATE(2026,4,1)</f>
        <v>46113</v>
      </c>
    </row>
    <row r="196" spans="1:16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36">
        <f t="shared" ca="1" si="15"/>
        <v>46304</v>
      </c>
      <c r="M196" s="37">
        <f t="shared" ca="1" si="16"/>
        <v>46304.551230092591</v>
      </c>
      <c r="N196" s="38">
        <f t="shared" si="17"/>
        <v>8</v>
      </c>
      <c r="O196" s="39">
        <f t="shared" ca="1" si="18"/>
        <v>106</v>
      </c>
      <c r="P196" s="40">
        <f t="shared" si="19"/>
        <v>46113</v>
      </c>
    </row>
    <row r="197" spans="1:16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36">
        <f t="shared" ca="1" si="15"/>
        <v>46304</v>
      </c>
      <c r="M197" s="37">
        <f t="shared" ca="1" si="16"/>
        <v>46304.551230092591</v>
      </c>
      <c r="N197" s="38">
        <f t="shared" si="17"/>
        <v>4</v>
      </c>
      <c r="O197" s="39">
        <f t="shared" ca="1" si="18"/>
        <v>149</v>
      </c>
      <c r="P197" s="40">
        <f t="shared" si="19"/>
        <v>46113</v>
      </c>
    </row>
    <row r="198" spans="1:16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36">
        <f t="shared" ca="1" si="15"/>
        <v>46304</v>
      </c>
      <c r="M198" s="37">
        <f t="shared" ca="1" si="16"/>
        <v>46304.551230092591</v>
      </c>
      <c r="N198" s="38">
        <f t="shared" si="17"/>
        <v>3</v>
      </c>
      <c r="O198" s="39">
        <f t="shared" ca="1" si="18"/>
        <v>259</v>
      </c>
      <c r="P198" s="40">
        <f t="shared" si="19"/>
        <v>46113</v>
      </c>
    </row>
    <row r="199" spans="1:16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36">
        <f t="shared" ca="1" si="15"/>
        <v>46304</v>
      </c>
      <c r="M199" s="37">
        <f t="shared" ca="1" si="16"/>
        <v>46304.551230092591</v>
      </c>
      <c r="N199" s="38">
        <f t="shared" si="17"/>
        <v>3</v>
      </c>
      <c r="O199" s="39">
        <f t="shared" ca="1" si="18"/>
        <v>198</v>
      </c>
      <c r="P199" s="40">
        <f t="shared" si="19"/>
        <v>46113</v>
      </c>
    </row>
    <row r="200" spans="1:16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36">
        <f t="shared" ca="1" si="15"/>
        <v>46304</v>
      </c>
      <c r="M200" s="37">
        <f t="shared" ca="1" si="16"/>
        <v>46304.551230092591</v>
      </c>
      <c r="N200" s="38">
        <f t="shared" si="17"/>
        <v>2</v>
      </c>
      <c r="O200" s="39">
        <f t="shared" ca="1" si="18"/>
        <v>126</v>
      </c>
      <c r="P200" s="40">
        <f t="shared" si="19"/>
        <v>46113</v>
      </c>
    </row>
    <row r="201" spans="1:16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36">
        <f t="shared" ca="1" si="15"/>
        <v>46304</v>
      </c>
      <c r="M201" s="37">
        <f t="shared" ca="1" si="16"/>
        <v>46304.551230092591</v>
      </c>
      <c r="N201" s="38">
        <f t="shared" si="17"/>
        <v>9</v>
      </c>
      <c r="O201" s="39">
        <f t="shared" ca="1" si="18"/>
        <v>170</v>
      </c>
      <c r="P201" s="40">
        <f t="shared" si="19"/>
        <v>46113</v>
      </c>
    </row>
    <row r="202" spans="1:16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36">
        <f t="shared" ca="1" si="15"/>
        <v>46304</v>
      </c>
      <c r="M202" s="37">
        <f t="shared" ca="1" si="16"/>
        <v>46304.551230092591</v>
      </c>
      <c r="N202" s="38">
        <f t="shared" si="17"/>
        <v>1</v>
      </c>
      <c r="O202" s="39">
        <f t="shared" ca="1" si="18"/>
        <v>229</v>
      </c>
      <c r="P202" s="40">
        <f t="shared" si="19"/>
        <v>46113</v>
      </c>
    </row>
    <row r="203" spans="1:16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36">
        <f t="shared" ca="1" si="15"/>
        <v>46304</v>
      </c>
      <c r="M203" s="37">
        <f t="shared" ca="1" si="16"/>
        <v>46304.551230092591</v>
      </c>
      <c r="N203" s="38">
        <f t="shared" si="17"/>
        <v>9</v>
      </c>
      <c r="O203" s="39">
        <f t="shared" ca="1" si="18"/>
        <v>222</v>
      </c>
      <c r="P203" s="40">
        <f t="shared" si="19"/>
        <v>46113</v>
      </c>
    </row>
    <row r="204" spans="1:16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36">
        <f t="shared" ca="1" si="15"/>
        <v>46304</v>
      </c>
      <c r="M204" s="37">
        <f t="shared" ca="1" si="16"/>
        <v>46304.551230092591</v>
      </c>
      <c r="N204" s="38">
        <f t="shared" si="17"/>
        <v>3</v>
      </c>
      <c r="O204" s="39">
        <f t="shared" ca="1" si="18"/>
        <v>185</v>
      </c>
      <c r="P204" s="40">
        <f t="shared" si="19"/>
        <v>46113</v>
      </c>
    </row>
    <row r="205" spans="1:16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36">
        <f t="shared" ca="1" si="15"/>
        <v>46304</v>
      </c>
      <c r="M205" s="37">
        <f t="shared" ca="1" si="16"/>
        <v>46304.551230092591</v>
      </c>
      <c r="N205" s="38">
        <f t="shared" si="17"/>
        <v>9</v>
      </c>
      <c r="O205" s="39">
        <f t="shared" ca="1" si="18"/>
        <v>181</v>
      </c>
      <c r="P205" s="40">
        <f t="shared" si="19"/>
        <v>46113</v>
      </c>
    </row>
    <row r="206" spans="1:16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36">
        <f t="shared" ca="1" si="15"/>
        <v>46304</v>
      </c>
      <c r="M206" s="37">
        <f t="shared" ca="1" si="16"/>
        <v>46304.551230092591</v>
      </c>
      <c r="N206" s="38">
        <f t="shared" si="17"/>
        <v>7</v>
      </c>
      <c r="O206" s="39">
        <f t="shared" ca="1" si="18"/>
        <v>271</v>
      </c>
      <c r="P206" s="40">
        <f t="shared" si="19"/>
        <v>46113</v>
      </c>
    </row>
    <row r="207" spans="1:16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36">
        <f t="shared" ca="1" si="15"/>
        <v>46304</v>
      </c>
      <c r="M207" s="37">
        <f t="shared" ca="1" si="16"/>
        <v>46304.551230092591</v>
      </c>
      <c r="N207" s="38">
        <f t="shared" si="17"/>
        <v>8</v>
      </c>
      <c r="O207" s="39">
        <f t="shared" ca="1" si="18"/>
        <v>138</v>
      </c>
      <c r="P207" s="40">
        <f t="shared" si="19"/>
        <v>46113</v>
      </c>
    </row>
    <row r="208" spans="1:16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36">
        <f t="shared" ca="1" si="15"/>
        <v>46304</v>
      </c>
      <c r="M208" s="37">
        <f t="shared" ca="1" si="16"/>
        <v>46304.551230092591</v>
      </c>
      <c r="N208" s="38">
        <f t="shared" si="17"/>
        <v>9</v>
      </c>
      <c r="O208" s="39">
        <f t="shared" ca="1" si="18"/>
        <v>140</v>
      </c>
      <c r="P208" s="40">
        <f t="shared" si="19"/>
        <v>46113</v>
      </c>
    </row>
    <row r="209" spans="1:16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36">
        <f t="shared" ca="1" si="15"/>
        <v>46304</v>
      </c>
      <c r="M209" s="37">
        <f t="shared" ca="1" si="16"/>
        <v>46304.551230092591</v>
      </c>
      <c r="N209" s="38">
        <f t="shared" si="17"/>
        <v>5</v>
      </c>
      <c r="O209" s="39">
        <f t="shared" ca="1" si="18"/>
        <v>262</v>
      </c>
      <c r="P209" s="40">
        <f t="shared" si="19"/>
        <v>46113</v>
      </c>
    </row>
    <row r="210" spans="1:16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36">
        <f t="shared" ca="1" si="15"/>
        <v>46304</v>
      </c>
      <c r="M210" s="37">
        <f t="shared" ca="1" si="16"/>
        <v>46304.551230092591</v>
      </c>
      <c r="N210" s="38">
        <f t="shared" si="17"/>
        <v>7</v>
      </c>
      <c r="O210" s="39">
        <f t="shared" ca="1" si="18"/>
        <v>201</v>
      </c>
      <c r="P210" s="40">
        <f t="shared" si="19"/>
        <v>46113</v>
      </c>
    </row>
    <row r="211" spans="1:16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36">
        <f t="shared" ca="1" si="15"/>
        <v>46304</v>
      </c>
      <c r="M211" s="37">
        <f t="shared" ca="1" si="16"/>
        <v>46304.551230092591</v>
      </c>
      <c r="N211" s="38">
        <f t="shared" si="17"/>
        <v>8</v>
      </c>
      <c r="O211" s="39">
        <f t="shared" ca="1" si="18"/>
        <v>252</v>
      </c>
      <c r="P211" s="40">
        <f t="shared" si="19"/>
        <v>46113</v>
      </c>
    </row>
    <row r="212" spans="1:16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36">
        <f t="shared" ca="1" si="15"/>
        <v>46304</v>
      </c>
      <c r="M212" s="37">
        <f t="shared" ca="1" si="16"/>
        <v>46304.551230092591</v>
      </c>
      <c r="N212" s="38">
        <f t="shared" si="17"/>
        <v>8</v>
      </c>
      <c r="O212" s="39">
        <f t="shared" ca="1" si="18"/>
        <v>129</v>
      </c>
      <c r="P212" s="40">
        <f t="shared" si="19"/>
        <v>46113</v>
      </c>
    </row>
    <row r="213" spans="1:16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36">
        <f t="shared" ca="1" si="15"/>
        <v>46304</v>
      </c>
      <c r="M213" s="37">
        <f t="shared" ca="1" si="16"/>
        <v>46304.551230092591</v>
      </c>
      <c r="N213" s="38">
        <f t="shared" si="17"/>
        <v>1</v>
      </c>
      <c r="O213" s="39">
        <f t="shared" ca="1" si="18"/>
        <v>110</v>
      </c>
      <c r="P213" s="40">
        <f t="shared" si="19"/>
        <v>46113</v>
      </c>
    </row>
    <row r="214" spans="1:16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36">
        <f t="shared" ca="1" si="15"/>
        <v>46304</v>
      </c>
      <c r="M214" s="37">
        <f t="shared" ca="1" si="16"/>
        <v>46304.551230092591</v>
      </c>
      <c r="N214" s="38">
        <f t="shared" si="17"/>
        <v>3</v>
      </c>
      <c r="O214" s="39">
        <f t="shared" ca="1" si="18"/>
        <v>188</v>
      </c>
      <c r="P214" s="40">
        <f t="shared" si="19"/>
        <v>46113</v>
      </c>
    </row>
    <row r="215" spans="1:16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36">
        <f t="shared" ca="1" si="15"/>
        <v>46304</v>
      </c>
      <c r="M215" s="37">
        <f t="shared" ca="1" si="16"/>
        <v>46304.551230092591</v>
      </c>
      <c r="N215" s="38">
        <f t="shared" si="17"/>
        <v>5</v>
      </c>
      <c r="O215" s="39">
        <f t="shared" ca="1" si="18"/>
        <v>164</v>
      </c>
      <c r="P215" s="40">
        <f t="shared" si="19"/>
        <v>46113</v>
      </c>
    </row>
    <row r="216" spans="1:16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36">
        <f t="shared" ca="1" si="15"/>
        <v>46304</v>
      </c>
      <c r="M216" s="37">
        <f t="shared" ca="1" si="16"/>
        <v>46304.551230092591</v>
      </c>
      <c r="N216" s="38">
        <f t="shared" si="17"/>
        <v>5</v>
      </c>
      <c r="O216" s="39">
        <f t="shared" ca="1" si="18"/>
        <v>173</v>
      </c>
      <c r="P216" s="40">
        <f t="shared" si="19"/>
        <v>46113</v>
      </c>
    </row>
    <row r="217" spans="1:16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36">
        <f t="shared" ca="1" si="15"/>
        <v>46304</v>
      </c>
      <c r="M217" s="37">
        <f t="shared" ca="1" si="16"/>
        <v>46304.551230092591</v>
      </c>
      <c r="N217" s="38">
        <f t="shared" si="17"/>
        <v>4</v>
      </c>
      <c r="O217" s="39">
        <f t="shared" ca="1" si="18"/>
        <v>169</v>
      </c>
      <c r="P217" s="40">
        <f t="shared" si="19"/>
        <v>46113</v>
      </c>
    </row>
    <row r="218" spans="1:16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36">
        <f t="shared" ca="1" si="15"/>
        <v>46304</v>
      </c>
      <c r="M218" s="37">
        <f t="shared" ca="1" si="16"/>
        <v>46304.551230092591</v>
      </c>
      <c r="N218" s="38">
        <f t="shared" si="17"/>
        <v>1</v>
      </c>
      <c r="O218" s="39">
        <f t="shared" ca="1" si="18"/>
        <v>133</v>
      </c>
      <c r="P218" s="40">
        <f t="shared" si="19"/>
        <v>46113</v>
      </c>
    </row>
    <row r="219" spans="1:16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36">
        <f t="shared" ca="1" si="15"/>
        <v>46304</v>
      </c>
      <c r="M219" s="37">
        <f t="shared" ca="1" si="16"/>
        <v>46304.551230092591</v>
      </c>
      <c r="N219" s="38">
        <f t="shared" si="17"/>
        <v>8</v>
      </c>
      <c r="O219" s="39">
        <f t="shared" ca="1" si="18"/>
        <v>161</v>
      </c>
      <c r="P219" s="40">
        <f t="shared" si="19"/>
        <v>46113</v>
      </c>
    </row>
    <row r="220" spans="1:16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36">
        <f t="shared" ca="1" si="15"/>
        <v>46304</v>
      </c>
      <c r="M220" s="37">
        <f t="shared" ca="1" si="16"/>
        <v>46304.551230092591</v>
      </c>
      <c r="N220" s="38">
        <f t="shared" si="17"/>
        <v>4</v>
      </c>
      <c r="O220" s="39">
        <f t="shared" ca="1" si="18"/>
        <v>102</v>
      </c>
      <c r="P220" s="40">
        <f t="shared" si="19"/>
        <v>46113</v>
      </c>
    </row>
    <row r="221" spans="1:16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36">
        <f t="shared" ca="1" si="15"/>
        <v>46304</v>
      </c>
      <c r="M221" s="37">
        <f t="shared" ca="1" si="16"/>
        <v>46304.551230092591</v>
      </c>
      <c r="N221" s="38">
        <f t="shared" si="17"/>
        <v>4</v>
      </c>
      <c r="O221" s="39">
        <f t="shared" ca="1" si="18"/>
        <v>134</v>
      </c>
      <c r="P221" s="40">
        <f t="shared" si="19"/>
        <v>46113</v>
      </c>
    </row>
    <row r="222" spans="1:16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36">
        <f t="shared" ca="1" si="15"/>
        <v>46304</v>
      </c>
      <c r="M222" s="37">
        <f t="shared" ca="1" si="16"/>
        <v>46304.551230092591</v>
      </c>
      <c r="N222" s="38">
        <f t="shared" si="17"/>
        <v>3</v>
      </c>
      <c r="O222" s="39">
        <f t="shared" ca="1" si="18"/>
        <v>182</v>
      </c>
      <c r="P222" s="40">
        <f t="shared" si="19"/>
        <v>46113</v>
      </c>
    </row>
    <row r="223" spans="1:16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36">
        <f t="shared" ca="1" si="15"/>
        <v>46304</v>
      </c>
      <c r="M223" s="37">
        <f t="shared" ca="1" si="16"/>
        <v>46304.551230092591</v>
      </c>
      <c r="N223" s="38">
        <f t="shared" si="17"/>
        <v>9</v>
      </c>
      <c r="O223" s="39">
        <f t="shared" ca="1" si="18"/>
        <v>150</v>
      </c>
      <c r="P223" s="40">
        <f t="shared" si="19"/>
        <v>46113</v>
      </c>
    </row>
    <row r="224" spans="1:16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36">
        <f t="shared" ca="1" si="15"/>
        <v>46304</v>
      </c>
      <c r="M224" s="37">
        <f t="shared" ca="1" si="16"/>
        <v>46304.551230092591</v>
      </c>
      <c r="N224" s="38">
        <f t="shared" si="17"/>
        <v>7</v>
      </c>
      <c r="O224" s="39">
        <f t="shared" ca="1" si="18"/>
        <v>227</v>
      </c>
      <c r="P224" s="40">
        <f t="shared" si="19"/>
        <v>46113</v>
      </c>
    </row>
    <row r="225" spans="1:16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36">
        <f t="shared" ca="1" si="15"/>
        <v>46304</v>
      </c>
      <c r="M225" s="37">
        <f t="shared" ca="1" si="16"/>
        <v>46304.551230092591</v>
      </c>
      <c r="N225" s="38">
        <f t="shared" si="17"/>
        <v>7</v>
      </c>
      <c r="O225" s="39">
        <f t="shared" ca="1" si="18"/>
        <v>259</v>
      </c>
      <c r="P225" s="40">
        <f t="shared" si="19"/>
        <v>46113</v>
      </c>
    </row>
    <row r="226" spans="1:16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36">
        <f t="shared" ca="1" si="15"/>
        <v>46304</v>
      </c>
      <c r="M226" s="37">
        <f t="shared" ca="1" si="16"/>
        <v>46304.551230092591</v>
      </c>
      <c r="N226" s="38">
        <f t="shared" si="17"/>
        <v>1</v>
      </c>
      <c r="O226" s="39">
        <f t="shared" ca="1" si="18"/>
        <v>179</v>
      </c>
      <c r="P226" s="40">
        <f t="shared" si="19"/>
        <v>46113</v>
      </c>
    </row>
    <row r="227" spans="1:16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36">
        <f t="shared" ca="1" si="15"/>
        <v>46304</v>
      </c>
      <c r="M227" s="37">
        <f t="shared" ca="1" si="16"/>
        <v>46304.551230092591</v>
      </c>
      <c r="N227" s="38">
        <f t="shared" si="17"/>
        <v>4</v>
      </c>
      <c r="O227" s="39">
        <f t="shared" ca="1" si="18"/>
        <v>260</v>
      </c>
      <c r="P227" s="40">
        <f t="shared" si="19"/>
        <v>46113</v>
      </c>
    </row>
    <row r="228" spans="1:16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36">
        <f t="shared" ca="1" si="15"/>
        <v>46304</v>
      </c>
      <c r="M228" s="37">
        <f t="shared" ca="1" si="16"/>
        <v>46304.551230092591</v>
      </c>
      <c r="N228" s="38">
        <f t="shared" si="17"/>
        <v>3</v>
      </c>
      <c r="O228" s="39">
        <f t="shared" ca="1" si="18"/>
        <v>191</v>
      </c>
      <c r="P228" s="40">
        <f t="shared" si="19"/>
        <v>46113</v>
      </c>
    </row>
    <row r="229" spans="1:16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36">
        <f t="shared" ca="1" si="15"/>
        <v>46304</v>
      </c>
      <c r="M229" s="37">
        <f t="shared" ca="1" si="16"/>
        <v>46304.551230092591</v>
      </c>
      <c r="N229" s="38">
        <f t="shared" si="17"/>
        <v>2</v>
      </c>
      <c r="O229" s="39">
        <f t="shared" ca="1" si="18"/>
        <v>263</v>
      </c>
      <c r="P229" s="40">
        <f t="shared" si="19"/>
        <v>46113</v>
      </c>
    </row>
    <row r="230" spans="1:16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36">
        <f t="shared" ca="1" si="15"/>
        <v>46304</v>
      </c>
      <c r="M230" s="37">
        <f t="shared" ca="1" si="16"/>
        <v>46304.551230092591</v>
      </c>
      <c r="N230" s="38">
        <f t="shared" si="17"/>
        <v>9</v>
      </c>
      <c r="O230" s="39">
        <f t="shared" ca="1" si="18"/>
        <v>277</v>
      </c>
      <c r="P230" s="40">
        <f t="shared" si="19"/>
        <v>46113</v>
      </c>
    </row>
    <row r="231" spans="1:16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36">
        <f t="shared" ca="1" si="15"/>
        <v>46304</v>
      </c>
      <c r="M231" s="37">
        <f t="shared" ca="1" si="16"/>
        <v>46304.551230092591</v>
      </c>
      <c r="N231" s="38">
        <f t="shared" si="17"/>
        <v>9</v>
      </c>
      <c r="O231" s="39">
        <f t="shared" ca="1" si="18"/>
        <v>254</v>
      </c>
      <c r="P231" s="40">
        <f t="shared" si="19"/>
        <v>46113</v>
      </c>
    </row>
    <row r="232" spans="1:16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36">
        <f t="shared" ca="1" si="15"/>
        <v>46304</v>
      </c>
      <c r="M232" s="37">
        <f t="shared" ca="1" si="16"/>
        <v>46304.551230092591</v>
      </c>
      <c r="N232" s="38">
        <f t="shared" si="17"/>
        <v>8</v>
      </c>
      <c r="O232" s="39">
        <f t="shared" ca="1" si="18"/>
        <v>126</v>
      </c>
      <c r="P232" s="40">
        <f t="shared" si="19"/>
        <v>46113</v>
      </c>
    </row>
    <row r="233" spans="1:16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36">
        <f t="shared" ca="1" si="15"/>
        <v>46304</v>
      </c>
      <c r="M233" s="37">
        <f t="shared" ca="1" si="16"/>
        <v>46304.551230092591</v>
      </c>
      <c r="N233" s="38">
        <f t="shared" si="17"/>
        <v>5</v>
      </c>
      <c r="O233" s="39">
        <f t="shared" ca="1" si="18"/>
        <v>244</v>
      </c>
      <c r="P233" s="40">
        <f t="shared" si="19"/>
        <v>46113</v>
      </c>
    </row>
    <row r="234" spans="1:16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36">
        <f t="shared" ca="1" si="15"/>
        <v>46304</v>
      </c>
      <c r="M234" s="37">
        <f t="shared" ca="1" si="16"/>
        <v>46304.551230092591</v>
      </c>
      <c r="N234" s="38">
        <f t="shared" si="17"/>
        <v>4</v>
      </c>
      <c r="O234" s="39">
        <f t="shared" ca="1" si="18"/>
        <v>106</v>
      </c>
      <c r="P234" s="40">
        <f t="shared" si="19"/>
        <v>46113</v>
      </c>
    </row>
    <row r="235" spans="1:16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36">
        <f t="shared" ca="1" si="15"/>
        <v>46304</v>
      </c>
      <c r="M235" s="37">
        <f t="shared" ca="1" si="16"/>
        <v>46304.551230092591</v>
      </c>
      <c r="N235" s="38">
        <f t="shared" si="17"/>
        <v>7</v>
      </c>
      <c r="O235" s="39">
        <f t="shared" ca="1" si="18"/>
        <v>190</v>
      </c>
      <c r="P235" s="40">
        <f t="shared" si="19"/>
        <v>46113</v>
      </c>
    </row>
    <row r="236" spans="1:16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36">
        <f t="shared" ca="1" si="15"/>
        <v>46304</v>
      </c>
      <c r="M236" s="37">
        <f t="shared" ca="1" si="16"/>
        <v>46304.551230092591</v>
      </c>
      <c r="N236" s="38">
        <f t="shared" si="17"/>
        <v>5</v>
      </c>
      <c r="O236" s="39">
        <f t="shared" ca="1" si="18"/>
        <v>132</v>
      </c>
      <c r="P236" s="40">
        <f t="shared" si="19"/>
        <v>46113</v>
      </c>
    </row>
    <row r="237" spans="1:16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36">
        <f t="shared" ca="1" si="15"/>
        <v>46304</v>
      </c>
      <c r="M237" s="37">
        <f t="shared" ca="1" si="16"/>
        <v>46304.551230092591</v>
      </c>
      <c r="N237" s="38">
        <f t="shared" si="17"/>
        <v>5</v>
      </c>
      <c r="O237" s="39">
        <f t="shared" ca="1" si="18"/>
        <v>140</v>
      </c>
      <c r="P237" s="40">
        <f t="shared" si="19"/>
        <v>46113</v>
      </c>
    </row>
    <row r="238" spans="1:16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36">
        <f t="shared" ca="1" si="15"/>
        <v>46304</v>
      </c>
      <c r="M238" s="37">
        <f t="shared" ca="1" si="16"/>
        <v>46304.551230092591</v>
      </c>
      <c r="N238" s="38">
        <f t="shared" si="17"/>
        <v>8</v>
      </c>
      <c r="O238" s="39">
        <f t="shared" ca="1" si="18"/>
        <v>167</v>
      </c>
      <c r="P238" s="40">
        <f t="shared" si="19"/>
        <v>46113</v>
      </c>
    </row>
    <row r="239" spans="1:16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36">
        <f t="shared" ca="1" si="15"/>
        <v>46304</v>
      </c>
      <c r="M239" s="37">
        <f t="shared" ca="1" si="16"/>
        <v>46304.551230092591</v>
      </c>
      <c r="N239" s="38">
        <f t="shared" si="17"/>
        <v>1</v>
      </c>
      <c r="O239" s="39">
        <f t="shared" ca="1" si="18"/>
        <v>208</v>
      </c>
      <c r="P239" s="40">
        <f t="shared" si="19"/>
        <v>46113</v>
      </c>
    </row>
    <row r="240" spans="1:16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36">
        <f t="shared" ca="1" si="15"/>
        <v>46304</v>
      </c>
      <c r="M240" s="37">
        <f t="shared" ca="1" si="16"/>
        <v>46304.551230092591</v>
      </c>
      <c r="N240" s="38">
        <f t="shared" si="17"/>
        <v>3</v>
      </c>
      <c r="O240" s="39">
        <f t="shared" ca="1" si="18"/>
        <v>182</v>
      </c>
      <c r="P240" s="40">
        <f t="shared" si="19"/>
        <v>46113</v>
      </c>
    </row>
    <row r="241" spans="1:16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36">
        <f t="shared" ca="1" si="15"/>
        <v>46304</v>
      </c>
      <c r="M241" s="37">
        <f t="shared" ca="1" si="16"/>
        <v>46304.551230092591</v>
      </c>
      <c r="N241" s="38">
        <f t="shared" si="17"/>
        <v>4</v>
      </c>
      <c r="O241" s="39">
        <f t="shared" ca="1" si="18"/>
        <v>162</v>
      </c>
      <c r="P241" s="40">
        <f t="shared" si="19"/>
        <v>46113</v>
      </c>
    </row>
    <row r="242" spans="1:16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36">
        <f t="shared" ca="1" si="15"/>
        <v>46304</v>
      </c>
      <c r="M242" s="37">
        <f t="shared" ca="1" si="16"/>
        <v>46304.551230092591</v>
      </c>
      <c r="N242" s="38">
        <f t="shared" si="17"/>
        <v>3</v>
      </c>
      <c r="O242" s="39">
        <f t="shared" ca="1" si="18"/>
        <v>185</v>
      </c>
      <c r="P242" s="40">
        <f t="shared" si="19"/>
        <v>46113</v>
      </c>
    </row>
    <row r="243" spans="1:16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36">
        <f t="shared" ca="1" si="15"/>
        <v>46304</v>
      </c>
      <c r="M243" s="37">
        <f t="shared" ca="1" si="16"/>
        <v>46304.551230092591</v>
      </c>
      <c r="N243" s="38">
        <f t="shared" si="17"/>
        <v>5</v>
      </c>
      <c r="O243" s="39">
        <f t="shared" ca="1" si="18"/>
        <v>113</v>
      </c>
      <c r="P243" s="40">
        <f t="shared" si="19"/>
        <v>46113</v>
      </c>
    </row>
    <row r="244" spans="1:16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36">
        <f t="shared" ca="1" si="15"/>
        <v>46304</v>
      </c>
      <c r="M244" s="37">
        <f t="shared" ca="1" si="16"/>
        <v>46304.551230092591</v>
      </c>
      <c r="N244" s="38">
        <f t="shared" si="17"/>
        <v>8</v>
      </c>
      <c r="O244" s="39">
        <f t="shared" ca="1" si="18"/>
        <v>235</v>
      </c>
      <c r="P244" s="40">
        <f t="shared" si="19"/>
        <v>46113</v>
      </c>
    </row>
    <row r="245" spans="1:16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36">
        <f t="shared" ca="1" si="15"/>
        <v>46304</v>
      </c>
      <c r="M245" s="37">
        <f t="shared" ca="1" si="16"/>
        <v>46304.551230092591</v>
      </c>
      <c r="N245" s="38">
        <f t="shared" si="17"/>
        <v>5</v>
      </c>
      <c r="O245" s="39">
        <f t="shared" ca="1" si="18"/>
        <v>104</v>
      </c>
      <c r="P245" s="40">
        <f t="shared" si="19"/>
        <v>46113</v>
      </c>
    </row>
    <row r="246" spans="1:16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36">
        <f t="shared" ca="1" si="15"/>
        <v>46304</v>
      </c>
      <c r="M246" s="37">
        <f t="shared" ca="1" si="16"/>
        <v>46304.551230092591</v>
      </c>
      <c r="N246" s="38">
        <f t="shared" si="17"/>
        <v>3</v>
      </c>
      <c r="O246" s="39">
        <f t="shared" ca="1" si="18"/>
        <v>128</v>
      </c>
      <c r="P246" s="40">
        <f t="shared" si="19"/>
        <v>46113</v>
      </c>
    </row>
    <row r="247" spans="1:16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36">
        <f t="shared" ca="1" si="15"/>
        <v>46304</v>
      </c>
      <c r="M247" s="37">
        <f t="shared" ca="1" si="16"/>
        <v>46304.551230092591</v>
      </c>
      <c r="N247" s="38">
        <f t="shared" si="17"/>
        <v>6</v>
      </c>
      <c r="O247" s="39">
        <f t="shared" ca="1" si="18"/>
        <v>265</v>
      </c>
      <c r="P247" s="40">
        <f t="shared" si="19"/>
        <v>46113</v>
      </c>
    </row>
    <row r="248" spans="1:16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36">
        <f t="shared" ca="1" si="15"/>
        <v>46304</v>
      </c>
      <c r="M248" s="37">
        <f t="shared" ca="1" si="16"/>
        <v>46304.551230092591</v>
      </c>
      <c r="N248" s="38">
        <f t="shared" si="17"/>
        <v>2</v>
      </c>
      <c r="O248" s="39">
        <f t="shared" ca="1" si="18"/>
        <v>131</v>
      </c>
      <c r="P248" s="40">
        <f t="shared" si="19"/>
        <v>46113</v>
      </c>
    </row>
    <row r="249" spans="1:16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36">
        <f t="shared" ca="1" si="15"/>
        <v>46304</v>
      </c>
      <c r="M249" s="37">
        <f t="shared" ca="1" si="16"/>
        <v>46304.551230092591</v>
      </c>
      <c r="N249" s="38">
        <f t="shared" si="17"/>
        <v>10</v>
      </c>
      <c r="O249" s="39">
        <f t="shared" ca="1" si="18"/>
        <v>143</v>
      </c>
      <c r="P249" s="40">
        <f t="shared" si="19"/>
        <v>46113</v>
      </c>
    </row>
    <row r="250" spans="1:16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36">
        <f t="shared" ca="1" si="15"/>
        <v>46304</v>
      </c>
      <c r="M250" s="37">
        <f t="shared" ca="1" si="16"/>
        <v>46304.551230092591</v>
      </c>
      <c r="N250" s="38">
        <f t="shared" si="17"/>
        <v>2</v>
      </c>
      <c r="O250" s="39">
        <f t="shared" ca="1" si="18"/>
        <v>141</v>
      </c>
      <c r="P250" s="40">
        <f t="shared" si="19"/>
        <v>46113</v>
      </c>
    </row>
    <row r="251" spans="1:16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36">
        <f t="shared" ca="1" si="15"/>
        <v>46304</v>
      </c>
      <c r="M251" s="37">
        <f t="shared" ca="1" si="16"/>
        <v>46304.551230092591</v>
      </c>
      <c r="N251" s="38">
        <f t="shared" si="17"/>
        <v>2</v>
      </c>
      <c r="O251" s="39">
        <f t="shared" ca="1" si="18"/>
        <v>253</v>
      </c>
      <c r="P251" s="40">
        <f t="shared" si="19"/>
        <v>46113</v>
      </c>
    </row>
    <row r="252" spans="1:16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36">
        <f t="shared" ca="1" si="15"/>
        <v>46304</v>
      </c>
      <c r="M252" s="37">
        <f t="shared" ca="1" si="16"/>
        <v>46304.551230092591</v>
      </c>
      <c r="N252" s="38">
        <f t="shared" si="17"/>
        <v>9</v>
      </c>
      <c r="O252" s="39">
        <f t="shared" ca="1" si="18"/>
        <v>192</v>
      </c>
      <c r="P252" s="40">
        <f t="shared" si="19"/>
        <v>46113</v>
      </c>
    </row>
    <row r="253" spans="1:16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36">
        <f t="shared" ca="1" si="15"/>
        <v>46304</v>
      </c>
      <c r="M253" s="37">
        <f t="shared" ca="1" si="16"/>
        <v>46304.551230092591</v>
      </c>
      <c r="N253" s="38">
        <f t="shared" si="17"/>
        <v>7</v>
      </c>
      <c r="O253" s="39">
        <f t="shared" ca="1" si="18"/>
        <v>138</v>
      </c>
      <c r="P253" s="40">
        <f t="shared" si="19"/>
        <v>46113</v>
      </c>
    </row>
    <row r="254" spans="1:16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36">
        <f t="shared" ca="1" si="15"/>
        <v>46304</v>
      </c>
      <c r="M254" s="37">
        <f t="shared" ca="1" si="16"/>
        <v>46304.551230092591</v>
      </c>
      <c r="N254" s="38">
        <f t="shared" si="17"/>
        <v>1</v>
      </c>
      <c r="O254" s="39">
        <f t="shared" ca="1" si="18"/>
        <v>230</v>
      </c>
      <c r="P254" s="40">
        <f t="shared" si="19"/>
        <v>46113</v>
      </c>
    </row>
    <row r="255" spans="1:16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36">
        <f t="shared" ca="1" si="15"/>
        <v>46304</v>
      </c>
      <c r="M255" s="37">
        <f t="shared" ca="1" si="16"/>
        <v>46304.551230092591</v>
      </c>
      <c r="N255" s="38">
        <f t="shared" si="17"/>
        <v>8</v>
      </c>
      <c r="O255" s="39">
        <f t="shared" ca="1" si="18"/>
        <v>163</v>
      </c>
      <c r="P255" s="40">
        <f t="shared" si="19"/>
        <v>46113</v>
      </c>
    </row>
    <row r="256" spans="1:16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36">
        <f t="shared" ca="1" si="15"/>
        <v>46304</v>
      </c>
      <c r="M256" s="37">
        <f t="shared" ca="1" si="16"/>
        <v>46304.551230092591</v>
      </c>
      <c r="N256" s="38">
        <f t="shared" si="17"/>
        <v>4</v>
      </c>
      <c r="O256" s="39">
        <f t="shared" ca="1" si="18"/>
        <v>213</v>
      </c>
      <c r="P256" s="40">
        <f t="shared" si="19"/>
        <v>46113</v>
      </c>
    </row>
    <row r="257" spans="1:16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36">
        <f t="shared" ca="1" si="15"/>
        <v>46304</v>
      </c>
      <c r="M257" s="37">
        <f t="shared" ca="1" si="16"/>
        <v>46304.551230092591</v>
      </c>
      <c r="N257" s="38">
        <f t="shared" si="17"/>
        <v>4</v>
      </c>
      <c r="O257" s="39">
        <f t="shared" ca="1" si="18"/>
        <v>247</v>
      </c>
      <c r="P257" s="40">
        <f t="shared" si="19"/>
        <v>46113</v>
      </c>
    </row>
    <row r="258" spans="1:16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36">
        <f t="shared" ca="1" si="15"/>
        <v>46304</v>
      </c>
      <c r="M258" s="37">
        <f t="shared" ca="1" si="16"/>
        <v>46304.551230092591</v>
      </c>
      <c r="N258" s="38">
        <f t="shared" si="17"/>
        <v>10</v>
      </c>
      <c r="O258" s="39">
        <f t="shared" ca="1" si="18"/>
        <v>143</v>
      </c>
      <c r="P258" s="40">
        <f t="shared" si="19"/>
        <v>46113</v>
      </c>
    </row>
    <row r="259" spans="1:16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36">
        <f t="shared" ref="L259:L322" ca="1" si="20">TODAY()</f>
        <v>46304</v>
      </c>
      <c r="M259" s="37">
        <f t="shared" ref="M259:M322" ca="1" si="21">NOW()</f>
        <v>46304.551230092591</v>
      </c>
      <c r="N259" s="38">
        <f t="shared" ref="N259:N322" si="22">(J259-I259)</f>
        <v>1</v>
      </c>
      <c r="O259" s="39">
        <f t="shared" ref="O259:O322" ca="1" si="23">(L259-I259)</f>
        <v>167</v>
      </c>
      <c r="P259" s="40">
        <f t="shared" ref="P259:P322" si="24">DATE(2026,4,1)</f>
        <v>46113</v>
      </c>
    </row>
    <row r="260" spans="1:16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36">
        <f t="shared" ca="1" si="20"/>
        <v>46304</v>
      </c>
      <c r="M260" s="37">
        <f t="shared" ca="1" si="21"/>
        <v>46304.551230092591</v>
      </c>
      <c r="N260" s="38">
        <f t="shared" si="22"/>
        <v>10</v>
      </c>
      <c r="O260" s="39">
        <f t="shared" ca="1" si="23"/>
        <v>132</v>
      </c>
      <c r="P260" s="40">
        <f t="shared" si="24"/>
        <v>46113</v>
      </c>
    </row>
    <row r="261" spans="1:16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36">
        <f t="shared" ca="1" si="20"/>
        <v>46304</v>
      </c>
      <c r="M261" s="37">
        <f t="shared" ca="1" si="21"/>
        <v>46304.551230092591</v>
      </c>
      <c r="N261" s="38">
        <f t="shared" si="22"/>
        <v>5</v>
      </c>
      <c r="O261" s="39">
        <f t="shared" ca="1" si="23"/>
        <v>264</v>
      </c>
      <c r="P261" s="40">
        <f t="shared" si="24"/>
        <v>46113</v>
      </c>
    </row>
    <row r="262" spans="1:16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36">
        <f t="shared" ca="1" si="20"/>
        <v>46304</v>
      </c>
      <c r="M262" s="37">
        <f t="shared" ca="1" si="21"/>
        <v>46304.551230092591</v>
      </c>
      <c r="N262" s="38">
        <f t="shared" si="22"/>
        <v>1</v>
      </c>
      <c r="O262" s="39">
        <f t="shared" ca="1" si="23"/>
        <v>185</v>
      </c>
      <c r="P262" s="40">
        <f t="shared" si="24"/>
        <v>46113</v>
      </c>
    </row>
    <row r="263" spans="1:16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36">
        <f t="shared" ca="1" si="20"/>
        <v>46304</v>
      </c>
      <c r="M263" s="37">
        <f t="shared" ca="1" si="21"/>
        <v>46304.551230092591</v>
      </c>
      <c r="N263" s="38">
        <f t="shared" si="22"/>
        <v>9</v>
      </c>
      <c r="O263" s="39">
        <f t="shared" ca="1" si="23"/>
        <v>130</v>
      </c>
      <c r="P263" s="40">
        <f t="shared" si="24"/>
        <v>46113</v>
      </c>
    </row>
    <row r="264" spans="1:16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36">
        <f t="shared" ca="1" si="20"/>
        <v>46304</v>
      </c>
      <c r="M264" s="37">
        <f t="shared" ca="1" si="21"/>
        <v>46304.551230092591</v>
      </c>
      <c r="N264" s="38">
        <f t="shared" si="22"/>
        <v>8</v>
      </c>
      <c r="O264" s="39">
        <f t="shared" ca="1" si="23"/>
        <v>174</v>
      </c>
      <c r="P264" s="40">
        <f t="shared" si="24"/>
        <v>46113</v>
      </c>
    </row>
    <row r="265" spans="1:16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36">
        <f t="shared" ca="1" si="20"/>
        <v>46304</v>
      </c>
      <c r="M265" s="37">
        <f t="shared" ca="1" si="21"/>
        <v>46304.551230092591</v>
      </c>
      <c r="N265" s="38">
        <f t="shared" si="22"/>
        <v>6</v>
      </c>
      <c r="O265" s="39">
        <f t="shared" ca="1" si="23"/>
        <v>104</v>
      </c>
      <c r="P265" s="40">
        <f t="shared" si="24"/>
        <v>46113</v>
      </c>
    </row>
    <row r="266" spans="1:16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36">
        <f t="shared" ca="1" si="20"/>
        <v>46304</v>
      </c>
      <c r="M266" s="37">
        <f t="shared" ca="1" si="21"/>
        <v>46304.551230092591</v>
      </c>
      <c r="N266" s="38">
        <f t="shared" si="22"/>
        <v>10</v>
      </c>
      <c r="O266" s="39">
        <f t="shared" ca="1" si="23"/>
        <v>187</v>
      </c>
      <c r="P266" s="40">
        <f t="shared" si="24"/>
        <v>46113</v>
      </c>
    </row>
    <row r="267" spans="1:16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36">
        <f t="shared" ca="1" si="20"/>
        <v>46304</v>
      </c>
      <c r="M267" s="37">
        <f t="shared" ca="1" si="21"/>
        <v>46304.551230092591</v>
      </c>
      <c r="N267" s="38">
        <f t="shared" si="22"/>
        <v>8</v>
      </c>
      <c r="O267" s="39">
        <f t="shared" ca="1" si="23"/>
        <v>208</v>
      </c>
      <c r="P267" s="40">
        <f t="shared" si="24"/>
        <v>46113</v>
      </c>
    </row>
    <row r="268" spans="1:16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36">
        <f t="shared" ca="1" si="20"/>
        <v>46304</v>
      </c>
      <c r="M268" s="37">
        <f t="shared" ca="1" si="21"/>
        <v>46304.551230092591</v>
      </c>
      <c r="N268" s="38">
        <f t="shared" si="22"/>
        <v>9</v>
      </c>
      <c r="O268" s="39">
        <f t="shared" ca="1" si="23"/>
        <v>175</v>
      </c>
      <c r="P268" s="40">
        <f t="shared" si="24"/>
        <v>46113</v>
      </c>
    </row>
    <row r="269" spans="1:16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36">
        <f t="shared" ca="1" si="20"/>
        <v>46304</v>
      </c>
      <c r="M269" s="37">
        <f t="shared" ca="1" si="21"/>
        <v>46304.551230092591</v>
      </c>
      <c r="N269" s="38">
        <f t="shared" si="22"/>
        <v>3</v>
      </c>
      <c r="O269" s="39">
        <f t="shared" ca="1" si="23"/>
        <v>105</v>
      </c>
      <c r="P269" s="40">
        <f t="shared" si="24"/>
        <v>46113</v>
      </c>
    </row>
    <row r="270" spans="1:16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36">
        <f t="shared" ca="1" si="20"/>
        <v>46304</v>
      </c>
      <c r="M270" s="37">
        <f t="shared" ca="1" si="21"/>
        <v>46304.551230092591</v>
      </c>
      <c r="N270" s="38">
        <f t="shared" si="22"/>
        <v>2</v>
      </c>
      <c r="O270" s="39">
        <f t="shared" ca="1" si="23"/>
        <v>175</v>
      </c>
      <c r="P270" s="40">
        <f t="shared" si="24"/>
        <v>46113</v>
      </c>
    </row>
    <row r="271" spans="1:16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36">
        <f t="shared" ca="1" si="20"/>
        <v>46304</v>
      </c>
      <c r="M271" s="37">
        <f t="shared" ca="1" si="21"/>
        <v>46304.551230092591</v>
      </c>
      <c r="N271" s="38">
        <f t="shared" si="22"/>
        <v>6</v>
      </c>
      <c r="O271" s="39">
        <f t="shared" ca="1" si="23"/>
        <v>169</v>
      </c>
      <c r="P271" s="40">
        <f t="shared" si="24"/>
        <v>46113</v>
      </c>
    </row>
    <row r="272" spans="1:16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36">
        <f t="shared" ca="1" si="20"/>
        <v>46304</v>
      </c>
      <c r="M272" s="37">
        <f t="shared" ca="1" si="21"/>
        <v>46304.551230092591</v>
      </c>
      <c r="N272" s="38">
        <f t="shared" si="22"/>
        <v>2</v>
      </c>
      <c r="O272" s="39">
        <f t="shared" ca="1" si="23"/>
        <v>221</v>
      </c>
      <c r="P272" s="40">
        <f t="shared" si="24"/>
        <v>46113</v>
      </c>
    </row>
    <row r="273" spans="1:16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36">
        <f t="shared" ca="1" si="20"/>
        <v>46304</v>
      </c>
      <c r="M273" s="37">
        <f t="shared" ca="1" si="21"/>
        <v>46304.551230092591</v>
      </c>
      <c r="N273" s="38">
        <f t="shared" si="22"/>
        <v>6</v>
      </c>
      <c r="O273" s="39">
        <f t="shared" ca="1" si="23"/>
        <v>226</v>
      </c>
      <c r="P273" s="40">
        <f t="shared" si="24"/>
        <v>46113</v>
      </c>
    </row>
    <row r="274" spans="1:16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36">
        <f t="shared" ca="1" si="20"/>
        <v>46304</v>
      </c>
      <c r="M274" s="37">
        <f t="shared" ca="1" si="21"/>
        <v>46304.551230092591</v>
      </c>
      <c r="N274" s="38">
        <f t="shared" si="22"/>
        <v>2</v>
      </c>
      <c r="O274" s="39">
        <f t="shared" ca="1" si="23"/>
        <v>132</v>
      </c>
      <c r="P274" s="40">
        <f t="shared" si="24"/>
        <v>46113</v>
      </c>
    </row>
    <row r="275" spans="1:16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36">
        <f t="shared" ca="1" si="20"/>
        <v>46304</v>
      </c>
      <c r="M275" s="37">
        <f t="shared" ca="1" si="21"/>
        <v>46304.551230092591</v>
      </c>
      <c r="N275" s="38">
        <f t="shared" si="22"/>
        <v>7</v>
      </c>
      <c r="O275" s="39">
        <f t="shared" ca="1" si="23"/>
        <v>125</v>
      </c>
      <c r="P275" s="40">
        <f t="shared" si="24"/>
        <v>46113</v>
      </c>
    </row>
    <row r="276" spans="1:16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36">
        <f t="shared" ca="1" si="20"/>
        <v>46304</v>
      </c>
      <c r="M276" s="37">
        <f t="shared" ca="1" si="21"/>
        <v>46304.551230092591</v>
      </c>
      <c r="N276" s="38">
        <f t="shared" si="22"/>
        <v>2</v>
      </c>
      <c r="O276" s="39">
        <f t="shared" ca="1" si="23"/>
        <v>212</v>
      </c>
      <c r="P276" s="40">
        <f t="shared" si="24"/>
        <v>46113</v>
      </c>
    </row>
    <row r="277" spans="1:16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36">
        <f t="shared" ca="1" si="20"/>
        <v>46304</v>
      </c>
      <c r="M277" s="37">
        <f t="shared" ca="1" si="21"/>
        <v>46304.551230092591</v>
      </c>
      <c r="N277" s="38">
        <f t="shared" si="22"/>
        <v>2</v>
      </c>
      <c r="O277" s="39">
        <f t="shared" ca="1" si="23"/>
        <v>207</v>
      </c>
      <c r="P277" s="40">
        <f t="shared" si="24"/>
        <v>46113</v>
      </c>
    </row>
    <row r="278" spans="1:16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36">
        <f t="shared" ca="1" si="20"/>
        <v>46304</v>
      </c>
      <c r="M278" s="37">
        <f t="shared" ca="1" si="21"/>
        <v>46304.551230092591</v>
      </c>
      <c r="N278" s="38">
        <f t="shared" si="22"/>
        <v>3</v>
      </c>
      <c r="O278" s="39">
        <f t="shared" ca="1" si="23"/>
        <v>218</v>
      </c>
      <c r="P278" s="40">
        <f t="shared" si="24"/>
        <v>46113</v>
      </c>
    </row>
    <row r="279" spans="1:16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36">
        <f t="shared" ca="1" si="20"/>
        <v>46304</v>
      </c>
      <c r="M279" s="37">
        <f t="shared" ca="1" si="21"/>
        <v>46304.551230092591</v>
      </c>
      <c r="N279" s="38">
        <f t="shared" si="22"/>
        <v>6</v>
      </c>
      <c r="O279" s="39">
        <f t="shared" ca="1" si="23"/>
        <v>124</v>
      </c>
      <c r="P279" s="40">
        <f t="shared" si="24"/>
        <v>46113</v>
      </c>
    </row>
    <row r="280" spans="1:16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36">
        <f t="shared" ca="1" si="20"/>
        <v>46304</v>
      </c>
      <c r="M280" s="37">
        <f t="shared" ca="1" si="21"/>
        <v>46304.551230092591</v>
      </c>
      <c r="N280" s="38">
        <f t="shared" si="22"/>
        <v>2</v>
      </c>
      <c r="O280" s="39">
        <f t="shared" ca="1" si="23"/>
        <v>180</v>
      </c>
      <c r="P280" s="40">
        <f t="shared" si="24"/>
        <v>46113</v>
      </c>
    </row>
    <row r="281" spans="1:16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36">
        <f t="shared" ca="1" si="20"/>
        <v>46304</v>
      </c>
      <c r="M281" s="37">
        <f t="shared" ca="1" si="21"/>
        <v>46304.551230092591</v>
      </c>
      <c r="N281" s="38">
        <f t="shared" si="22"/>
        <v>10</v>
      </c>
      <c r="O281" s="39">
        <f t="shared" ca="1" si="23"/>
        <v>219</v>
      </c>
      <c r="P281" s="40">
        <f t="shared" si="24"/>
        <v>46113</v>
      </c>
    </row>
    <row r="282" spans="1:16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36">
        <f t="shared" ca="1" si="20"/>
        <v>46304</v>
      </c>
      <c r="M282" s="37">
        <f t="shared" ca="1" si="21"/>
        <v>46304.551230092591</v>
      </c>
      <c r="N282" s="38">
        <f t="shared" si="22"/>
        <v>8</v>
      </c>
      <c r="O282" s="39">
        <f t="shared" ca="1" si="23"/>
        <v>249</v>
      </c>
      <c r="P282" s="40">
        <f t="shared" si="24"/>
        <v>46113</v>
      </c>
    </row>
    <row r="283" spans="1:16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36">
        <f t="shared" ca="1" si="20"/>
        <v>46304</v>
      </c>
      <c r="M283" s="37">
        <f t="shared" ca="1" si="21"/>
        <v>46304.551230092591</v>
      </c>
      <c r="N283" s="38">
        <f t="shared" si="22"/>
        <v>1</v>
      </c>
      <c r="O283" s="39">
        <f t="shared" ca="1" si="23"/>
        <v>128</v>
      </c>
      <c r="P283" s="40">
        <f t="shared" si="24"/>
        <v>46113</v>
      </c>
    </row>
    <row r="284" spans="1:16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36">
        <f t="shared" ca="1" si="20"/>
        <v>46304</v>
      </c>
      <c r="M284" s="37">
        <f t="shared" ca="1" si="21"/>
        <v>46304.551230092591</v>
      </c>
      <c r="N284" s="38">
        <f t="shared" si="22"/>
        <v>6</v>
      </c>
      <c r="O284" s="39">
        <f t="shared" ca="1" si="23"/>
        <v>204</v>
      </c>
      <c r="P284" s="40">
        <f t="shared" si="24"/>
        <v>46113</v>
      </c>
    </row>
    <row r="285" spans="1:16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36">
        <f t="shared" ca="1" si="20"/>
        <v>46304</v>
      </c>
      <c r="M285" s="37">
        <f t="shared" ca="1" si="21"/>
        <v>46304.551230092591</v>
      </c>
      <c r="N285" s="38">
        <f t="shared" si="22"/>
        <v>8</v>
      </c>
      <c r="O285" s="39">
        <f t="shared" ca="1" si="23"/>
        <v>222</v>
      </c>
      <c r="P285" s="40">
        <f t="shared" si="24"/>
        <v>46113</v>
      </c>
    </row>
    <row r="286" spans="1:16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36">
        <f t="shared" ca="1" si="20"/>
        <v>46304</v>
      </c>
      <c r="M286" s="37">
        <f t="shared" ca="1" si="21"/>
        <v>46304.551230092591</v>
      </c>
      <c r="N286" s="38">
        <f t="shared" si="22"/>
        <v>3</v>
      </c>
      <c r="O286" s="39">
        <f t="shared" ca="1" si="23"/>
        <v>249</v>
      </c>
      <c r="P286" s="40">
        <f t="shared" si="24"/>
        <v>46113</v>
      </c>
    </row>
    <row r="287" spans="1:16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36">
        <f t="shared" ca="1" si="20"/>
        <v>46304</v>
      </c>
      <c r="M287" s="37">
        <f t="shared" ca="1" si="21"/>
        <v>46304.551230092591</v>
      </c>
      <c r="N287" s="38">
        <f t="shared" si="22"/>
        <v>5</v>
      </c>
      <c r="O287" s="39">
        <f t="shared" ca="1" si="23"/>
        <v>136</v>
      </c>
      <c r="P287" s="40">
        <f t="shared" si="24"/>
        <v>46113</v>
      </c>
    </row>
    <row r="288" spans="1:16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36">
        <f t="shared" ca="1" si="20"/>
        <v>46304</v>
      </c>
      <c r="M288" s="37">
        <f t="shared" ca="1" si="21"/>
        <v>46304.551230092591</v>
      </c>
      <c r="N288" s="38">
        <f t="shared" si="22"/>
        <v>6</v>
      </c>
      <c r="O288" s="39">
        <f t="shared" ca="1" si="23"/>
        <v>188</v>
      </c>
      <c r="P288" s="40">
        <f t="shared" si="24"/>
        <v>46113</v>
      </c>
    </row>
    <row r="289" spans="1:16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36">
        <f t="shared" ca="1" si="20"/>
        <v>46304</v>
      </c>
      <c r="M289" s="37">
        <f t="shared" ca="1" si="21"/>
        <v>46304.551230092591</v>
      </c>
      <c r="N289" s="38">
        <f t="shared" si="22"/>
        <v>8</v>
      </c>
      <c r="O289" s="39">
        <f t="shared" ca="1" si="23"/>
        <v>125</v>
      </c>
      <c r="P289" s="40">
        <f t="shared" si="24"/>
        <v>46113</v>
      </c>
    </row>
    <row r="290" spans="1:16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36">
        <f t="shared" ca="1" si="20"/>
        <v>46304</v>
      </c>
      <c r="M290" s="37">
        <f t="shared" ca="1" si="21"/>
        <v>46304.551230092591</v>
      </c>
      <c r="N290" s="38">
        <f t="shared" si="22"/>
        <v>8</v>
      </c>
      <c r="O290" s="39">
        <f t="shared" ca="1" si="23"/>
        <v>182</v>
      </c>
      <c r="P290" s="40">
        <f t="shared" si="24"/>
        <v>46113</v>
      </c>
    </row>
    <row r="291" spans="1:16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36">
        <f t="shared" ca="1" si="20"/>
        <v>46304</v>
      </c>
      <c r="M291" s="37">
        <f t="shared" ca="1" si="21"/>
        <v>46304.551230092591</v>
      </c>
      <c r="N291" s="38">
        <f t="shared" si="22"/>
        <v>1</v>
      </c>
      <c r="O291" s="39">
        <f t="shared" ca="1" si="23"/>
        <v>194</v>
      </c>
      <c r="P291" s="40">
        <f t="shared" si="24"/>
        <v>46113</v>
      </c>
    </row>
    <row r="292" spans="1:16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36">
        <f t="shared" ca="1" si="20"/>
        <v>46304</v>
      </c>
      <c r="M292" s="37">
        <f t="shared" ca="1" si="21"/>
        <v>46304.551230092591</v>
      </c>
      <c r="N292" s="38">
        <f t="shared" si="22"/>
        <v>4</v>
      </c>
      <c r="O292" s="39">
        <f t="shared" ca="1" si="23"/>
        <v>167</v>
      </c>
      <c r="P292" s="40">
        <f t="shared" si="24"/>
        <v>46113</v>
      </c>
    </row>
    <row r="293" spans="1:16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36">
        <f t="shared" ca="1" si="20"/>
        <v>46304</v>
      </c>
      <c r="M293" s="37">
        <f t="shared" ca="1" si="21"/>
        <v>46304.551230092591</v>
      </c>
      <c r="N293" s="38">
        <f t="shared" si="22"/>
        <v>7</v>
      </c>
      <c r="O293" s="39">
        <f t="shared" ca="1" si="23"/>
        <v>118</v>
      </c>
      <c r="P293" s="40">
        <f t="shared" si="24"/>
        <v>46113</v>
      </c>
    </row>
    <row r="294" spans="1:16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36">
        <f t="shared" ca="1" si="20"/>
        <v>46304</v>
      </c>
      <c r="M294" s="37">
        <f t="shared" ca="1" si="21"/>
        <v>46304.551230092591</v>
      </c>
      <c r="N294" s="38">
        <f t="shared" si="22"/>
        <v>5</v>
      </c>
      <c r="O294" s="39">
        <f t="shared" ca="1" si="23"/>
        <v>259</v>
      </c>
      <c r="P294" s="40">
        <f t="shared" si="24"/>
        <v>46113</v>
      </c>
    </row>
    <row r="295" spans="1:16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36">
        <f t="shared" ca="1" si="20"/>
        <v>46304</v>
      </c>
      <c r="M295" s="37">
        <f t="shared" ca="1" si="21"/>
        <v>46304.551230092591</v>
      </c>
      <c r="N295" s="38">
        <f t="shared" si="22"/>
        <v>8</v>
      </c>
      <c r="O295" s="39">
        <f t="shared" ca="1" si="23"/>
        <v>123</v>
      </c>
      <c r="P295" s="40">
        <f t="shared" si="24"/>
        <v>46113</v>
      </c>
    </row>
    <row r="296" spans="1:16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36">
        <f t="shared" ca="1" si="20"/>
        <v>46304</v>
      </c>
      <c r="M296" s="37">
        <f t="shared" ca="1" si="21"/>
        <v>46304.551230092591</v>
      </c>
      <c r="N296" s="38">
        <f t="shared" si="22"/>
        <v>5</v>
      </c>
      <c r="O296" s="39">
        <f t="shared" ca="1" si="23"/>
        <v>147</v>
      </c>
      <c r="P296" s="40">
        <f t="shared" si="24"/>
        <v>46113</v>
      </c>
    </row>
    <row r="297" spans="1:16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36">
        <f t="shared" ca="1" si="20"/>
        <v>46304</v>
      </c>
      <c r="M297" s="37">
        <f t="shared" ca="1" si="21"/>
        <v>46304.551230092591</v>
      </c>
      <c r="N297" s="38">
        <f t="shared" si="22"/>
        <v>9</v>
      </c>
      <c r="O297" s="39">
        <f t="shared" ca="1" si="23"/>
        <v>241</v>
      </c>
      <c r="P297" s="40">
        <f t="shared" si="24"/>
        <v>46113</v>
      </c>
    </row>
    <row r="298" spans="1:16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36">
        <f t="shared" ca="1" si="20"/>
        <v>46304</v>
      </c>
      <c r="M298" s="37">
        <f t="shared" ca="1" si="21"/>
        <v>46304.551230092591</v>
      </c>
      <c r="N298" s="38">
        <f t="shared" si="22"/>
        <v>9</v>
      </c>
      <c r="O298" s="39">
        <f t="shared" ca="1" si="23"/>
        <v>126</v>
      </c>
      <c r="P298" s="40">
        <f t="shared" si="24"/>
        <v>46113</v>
      </c>
    </row>
    <row r="299" spans="1:16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36">
        <f t="shared" ca="1" si="20"/>
        <v>46304</v>
      </c>
      <c r="M299" s="37">
        <f t="shared" ca="1" si="21"/>
        <v>46304.551230092591</v>
      </c>
      <c r="N299" s="38">
        <f t="shared" si="22"/>
        <v>10</v>
      </c>
      <c r="O299" s="39">
        <f t="shared" ca="1" si="23"/>
        <v>221</v>
      </c>
      <c r="P299" s="40">
        <f t="shared" si="24"/>
        <v>46113</v>
      </c>
    </row>
    <row r="300" spans="1:16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36">
        <f t="shared" ca="1" si="20"/>
        <v>46304</v>
      </c>
      <c r="M300" s="37">
        <f t="shared" ca="1" si="21"/>
        <v>46304.551230092591</v>
      </c>
      <c r="N300" s="38">
        <f t="shared" si="22"/>
        <v>9</v>
      </c>
      <c r="O300" s="39">
        <f t="shared" ca="1" si="23"/>
        <v>181</v>
      </c>
      <c r="P300" s="40">
        <f t="shared" si="24"/>
        <v>46113</v>
      </c>
    </row>
    <row r="301" spans="1:16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36">
        <f t="shared" ca="1" si="20"/>
        <v>46304</v>
      </c>
      <c r="M301" s="37">
        <f t="shared" ca="1" si="21"/>
        <v>46304.551230092591</v>
      </c>
      <c r="N301" s="38">
        <f t="shared" si="22"/>
        <v>7</v>
      </c>
      <c r="O301" s="39">
        <f t="shared" ca="1" si="23"/>
        <v>194</v>
      </c>
      <c r="P301" s="40">
        <f t="shared" si="24"/>
        <v>46113</v>
      </c>
    </row>
    <row r="302" spans="1:16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36">
        <f t="shared" ca="1" si="20"/>
        <v>46304</v>
      </c>
      <c r="M302" s="37">
        <f t="shared" ca="1" si="21"/>
        <v>46304.551230092591</v>
      </c>
      <c r="N302" s="38">
        <f t="shared" si="22"/>
        <v>10</v>
      </c>
      <c r="O302" s="39">
        <f t="shared" ca="1" si="23"/>
        <v>276</v>
      </c>
      <c r="P302" s="40">
        <f t="shared" si="24"/>
        <v>46113</v>
      </c>
    </row>
    <row r="303" spans="1:16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36">
        <f t="shared" ca="1" si="20"/>
        <v>46304</v>
      </c>
      <c r="M303" s="37">
        <f t="shared" ca="1" si="21"/>
        <v>46304.551230092591</v>
      </c>
      <c r="N303" s="38">
        <f t="shared" si="22"/>
        <v>9</v>
      </c>
      <c r="O303" s="39">
        <f t="shared" ca="1" si="23"/>
        <v>141</v>
      </c>
      <c r="P303" s="40">
        <f t="shared" si="24"/>
        <v>46113</v>
      </c>
    </row>
    <row r="304" spans="1:16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36">
        <f t="shared" ca="1" si="20"/>
        <v>46304</v>
      </c>
      <c r="M304" s="37">
        <f t="shared" ca="1" si="21"/>
        <v>46304.551230092591</v>
      </c>
      <c r="N304" s="38">
        <f t="shared" si="22"/>
        <v>3</v>
      </c>
      <c r="O304" s="39">
        <f t="shared" ca="1" si="23"/>
        <v>180</v>
      </c>
      <c r="P304" s="40">
        <f t="shared" si="24"/>
        <v>46113</v>
      </c>
    </row>
    <row r="305" spans="1:16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36">
        <f t="shared" ca="1" si="20"/>
        <v>46304</v>
      </c>
      <c r="M305" s="37">
        <f t="shared" ca="1" si="21"/>
        <v>46304.551230092591</v>
      </c>
      <c r="N305" s="38">
        <f t="shared" si="22"/>
        <v>9</v>
      </c>
      <c r="O305" s="39">
        <f t="shared" ca="1" si="23"/>
        <v>262</v>
      </c>
      <c r="P305" s="40">
        <f t="shared" si="24"/>
        <v>46113</v>
      </c>
    </row>
    <row r="306" spans="1:16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36">
        <f t="shared" ca="1" si="20"/>
        <v>46304</v>
      </c>
      <c r="M306" s="37">
        <f t="shared" ca="1" si="21"/>
        <v>46304.551230092591</v>
      </c>
      <c r="N306" s="38">
        <f t="shared" si="22"/>
        <v>8</v>
      </c>
      <c r="O306" s="39">
        <f t="shared" ca="1" si="23"/>
        <v>158</v>
      </c>
      <c r="P306" s="40">
        <f t="shared" si="24"/>
        <v>46113</v>
      </c>
    </row>
    <row r="307" spans="1:16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36">
        <f t="shared" ca="1" si="20"/>
        <v>46304</v>
      </c>
      <c r="M307" s="37">
        <f t="shared" ca="1" si="21"/>
        <v>46304.551230092591</v>
      </c>
      <c r="N307" s="38">
        <f t="shared" si="22"/>
        <v>3</v>
      </c>
      <c r="O307" s="39">
        <f t="shared" ca="1" si="23"/>
        <v>113</v>
      </c>
      <c r="P307" s="40">
        <f t="shared" si="24"/>
        <v>46113</v>
      </c>
    </row>
    <row r="308" spans="1:16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36">
        <f t="shared" ca="1" si="20"/>
        <v>46304</v>
      </c>
      <c r="M308" s="37">
        <f t="shared" ca="1" si="21"/>
        <v>46304.551230092591</v>
      </c>
      <c r="N308" s="38">
        <f t="shared" si="22"/>
        <v>3</v>
      </c>
      <c r="O308" s="39">
        <f t="shared" ca="1" si="23"/>
        <v>256</v>
      </c>
      <c r="P308" s="40">
        <f t="shared" si="24"/>
        <v>46113</v>
      </c>
    </row>
    <row r="309" spans="1:16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36">
        <f t="shared" ca="1" si="20"/>
        <v>46304</v>
      </c>
      <c r="M309" s="37">
        <f t="shared" ca="1" si="21"/>
        <v>46304.551230092591</v>
      </c>
      <c r="N309" s="38">
        <f t="shared" si="22"/>
        <v>6</v>
      </c>
      <c r="O309" s="39">
        <f t="shared" ca="1" si="23"/>
        <v>175</v>
      </c>
      <c r="P309" s="40">
        <f t="shared" si="24"/>
        <v>46113</v>
      </c>
    </row>
    <row r="310" spans="1:16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36">
        <f t="shared" ca="1" si="20"/>
        <v>46304</v>
      </c>
      <c r="M310" s="37">
        <f t="shared" ca="1" si="21"/>
        <v>46304.551230092591</v>
      </c>
      <c r="N310" s="38">
        <f t="shared" si="22"/>
        <v>1</v>
      </c>
      <c r="O310" s="39">
        <f t="shared" ca="1" si="23"/>
        <v>107</v>
      </c>
      <c r="P310" s="40">
        <f t="shared" si="24"/>
        <v>46113</v>
      </c>
    </row>
    <row r="311" spans="1:16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36">
        <f t="shared" ca="1" si="20"/>
        <v>46304</v>
      </c>
      <c r="M311" s="37">
        <f t="shared" ca="1" si="21"/>
        <v>46304.551230092591</v>
      </c>
      <c r="N311" s="38">
        <f t="shared" si="22"/>
        <v>8</v>
      </c>
      <c r="O311" s="39">
        <f t="shared" ca="1" si="23"/>
        <v>123</v>
      </c>
      <c r="P311" s="40">
        <f t="shared" si="24"/>
        <v>46113</v>
      </c>
    </row>
    <row r="312" spans="1:16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36">
        <f t="shared" ca="1" si="20"/>
        <v>46304</v>
      </c>
      <c r="M312" s="37">
        <f t="shared" ca="1" si="21"/>
        <v>46304.551230092591</v>
      </c>
      <c r="N312" s="38">
        <f t="shared" si="22"/>
        <v>3</v>
      </c>
      <c r="O312" s="39">
        <f t="shared" ca="1" si="23"/>
        <v>131</v>
      </c>
      <c r="P312" s="40">
        <f t="shared" si="24"/>
        <v>46113</v>
      </c>
    </row>
    <row r="313" spans="1:16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36">
        <f t="shared" ca="1" si="20"/>
        <v>46304</v>
      </c>
      <c r="M313" s="37">
        <f t="shared" ca="1" si="21"/>
        <v>46304.551230092591</v>
      </c>
      <c r="N313" s="38">
        <f t="shared" si="22"/>
        <v>8</v>
      </c>
      <c r="O313" s="39">
        <f t="shared" ca="1" si="23"/>
        <v>156</v>
      </c>
      <c r="P313" s="40">
        <f t="shared" si="24"/>
        <v>46113</v>
      </c>
    </row>
    <row r="314" spans="1:16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36">
        <f t="shared" ca="1" si="20"/>
        <v>46304</v>
      </c>
      <c r="M314" s="37">
        <f t="shared" ca="1" si="21"/>
        <v>46304.551230092591</v>
      </c>
      <c r="N314" s="38">
        <f t="shared" si="22"/>
        <v>8</v>
      </c>
      <c r="O314" s="39">
        <f t="shared" ca="1" si="23"/>
        <v>263</v>
      </c>
      <c r="P314" s="40">
        <f t="shared" si="24"/>
        <v>46113</v>
      </c>
    </row>
    <row r="315" spans="1:16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36">
        <f t="shared" ca="1" si="20"/>
        <v>46304</v>
      </c>
      <c r="M315" s="37">
        <f t="shared" ca="1" si="21"/>
        <v>46304.551230092591</v>
      </c>
      <c r="N315" s="38">
        <f t="shared" si="22"/>
        <v>1</v>
      </c>
      <c r="O315" s="39">
        <f t="shared" ca="1" si="23"/>
        <v>108</v>
      </c>
      <c r="P315" s="40">
        <f t="shared" si="24"/>
        <v>46113</v>
      </c>
    </row>
    <row r="316" spans="1:16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36">
        <f t="shared" ca="1" si="20"/>
        <v>46304</v>
      </c>
      <c r="M316" s="37">
        <f t="shared" ca="1" si="21"/>
        <v>46304.551230092591</v>
      </c>
      <c r="N316" s="38">
        <f t="shared" si="22"/>
        <v>10</v>
      </c>
      <c r="O316" s="39">
        <f t="shared" ca="1" si="23"/>
        <v>118</v>
      </c>
      <c r="P316" s="40">
        <f t="shared" si="24"/>
        <v>46113</v>
      </c>
    </row>
    <row r="317" spans="1:16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36">
        <f t="shared" ca="1" si="20"/>
        <v>46304</v>
      </c>
      <c r="M317" s="37">
        <f t="shared" ca="1" si="21"/>
        <v>46304.551230092591</v>
      </c>
      <c r="N317" s="38">
        <f t="shared" si="22"/>
        <v>7</v>
      </c>
      <c r="O317" s="39">
        <f t="shared" ca="1" si="23"/>
        <v>226</v>
      </c>
      <c r="P317" s="40">
        <f t="shared" si="24"/>
        <v>46113</v>
      </c>
    </row>
    <row r="318" spans="1:16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36">
        <f t="shared" ca="1" si="20"/>
        <v>46304</v>
      </c>
      <c r="M318" s="37">
        <f t="shared" ca="1" si="21"/>
        <v>46304.551230092591</v>
      </c>
      <c r="N318" s="38">
        <f t="shared" si="22"/>
        <v>10</v>
      </c>
      <c r="O318" s="39">
        <f t="shared" ca="1" si="23"/>
        <v>145</v>
      </c>
      <c r="P318" s="40">
        <f t="shared" si="24"/>
        <v>46113</v>
      </c>
    </row>
    <row r="319" spans="1:16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36">
        <f t="shared" ca="1" si="20"/>
        <v>46304</v>
      </c>
      <c r="M319" s="37">
        <f t="shared" ca="1" si="21"/>
        <v>46304.551230092591</v>
      </c>
      <c r="N319" s="38">
        <f t="shared" si="22"/>
        <v>6</v>
      </c>
      <c r="O319" s="39">
        <f t="shared" ca="1" si="23"/>
        <v>135</v>
      </c>
      <c r="P319" s="40">
        <f t="shared" si="24"/>
        <v>46113</v>
      </c>
    </row>
    <row r="320" spans="1:16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36">
        <f t="shared" ca="1" si="20"/>
        <v>46304</v>
      </c>
      <c r="M320" s="37">
        <f t="shared" ca="1" si="21"/>
        <v>46304.551230092591</v>
      </c>
      <c r="N320" s="38">
        <f t="shared" si="22"/>
        <v>8</v>
      </c>
      <c r="O320" s="39">
        <f t="shared" ca="1" si="23"/>
        <v>210</v>
      </c>
      <c r="P320" s="40">
        <f t="shared" si="24"/>
        <v>46113</v>
      </c>
    </row>
    <row r="321" spans="1:16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36">
        <f t="shared" ca="1" si="20"/>
        <v>46304</v>
      </c>
      <c r="M321" s="37">
        <f t="shared" ca="1" si="21"/>
        <v>46304.551230092591</v>
      </c>
      <c r="N321" s="38">
        <f t="shared" si="22"/>
        <v>3</v>
      </c>
      <c r="O321" s="39">
        <f t="shared" ca="1" si="23"/>
        <v>121</v>
      </c>
      <c r="P321" s="40">
        <f t="shared" si="24"/>
        <v>46113</v>
      </c>
    </row>
    <row r="322" spans="1:16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36">
        <f t="shared" ca="1" si="20"/>
        <v>46304</v>
      </c>
      <c r="M322" s="37">
        <f t="shared" ca="1" si="21"/>
        <v>46304.551230092591</v>
      </c>
      <c r="N322" s="38">
        <f t="shared" si="22"/>
        <v>2</v>
      </c>
      <c r="O322" s="39">
        <f t="shared" ca="1" si="23"/>
        <v>197</v>
      </c>
      <c r="P322" s="40">
        <f t="shared" si="24"/>
        <v>46113</v>
      </c>
    </row>
    <row r="323" spans="1:16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36">
        <f t="shared" ref="L323:L386" ca="1" si="25">TODAY()</f>
        <v>46304</v>
      </c>
      <c r="M323" s="37">
        <f t="shared" ref="M323:M386" ca="1" si="26">NOW()</f>
        <v>46304.551230092591</v>
      </c>
      <c r="N323" s="38">
        <f t="shared" ref="N323:N386" si="27">(J323-I323)</f>
        <v>5</v>
      </c>
      <c r="O323" s="39">
        <f t="shared" ref="O323:O386" ca="1" si="28">(L323-I323)</f>
        <v>163</v>
      </c>
      <c r="P323" s="40">
        <f t="shared" ref="P323:P386" si="29">DATE(2026,4,1)</f>
        <v>46113</v>
      </c>
    </row>
    <row r="324" spans="1:16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36">
        <f t="shared" ca="1" si="25"/>
        <v>46304</v>
      </c>
      <c r="M324" s="37">
        <f t="shared" ca="1" si="26"/>
        <v>46304.551230092591</v>
      </c>
      <c r="N324" s="38">
        <f t="shared" si="27"/>
        <v>5</v>
      </c>
      <c r="O324" s="39">
        <f t="shared" ca="1" si="28"/>
        <v>231</v>
      </c>
      <c r="P324" s="40">
        <f t="shared" si="29"/>
        <v>46113</v>
      </c>
    </row>
    <row r="325" spans="1:16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36">
        <f t="shared" ca="1" si="25"/>
        <v>46304</v>
      </c>
      <c r="M325" s="37">
        <f t="shared" ca="1" si="26"/>
        <v>46304.551230092591</v>
      </c>
      <c r="N325" s="38">
        <f t="shared" si="27"/>
        <v>3</v>
      </c>
      <c r="O325" s="39">
        <f t="shared" ca="1" si="28"/>
        <v>251</v>
      </c>
      <c r="P325" s="40">
        <f t="shared" si="29"/>
        <v>46113</v>
      </c>
    </row>
    <row r="326" spans="1:16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36">
        <f t="shared" ca="1" si="25"/>
        <v>46304</v>
      </c>
      <c r="M326" s="37">
        <f t="shared" ca="1" si="26"/>
        <v>46304.551230092591</v>
      </c>
      <c r="N326" s="38">
        <f t="shared" si="27"/>
        <v>9</v>
      </c>
      <c r="O326" s="39">
        <f t="shared" ca="1" si="28"/>
        <v>228</v>
      </c>
      <c r="P326" s="40">
        <f t="shared" si="29"/>
        <v>46113</v>
      </c>
    </row>
    <row r="327" spans="1:16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36">
        <f t="shared" ca="1" si="25"/>
        <v>46304</v>
      </c>
      <c r="M327" s="37">
        <f t="shared" ca="1" si="26"/>
        <v>46304.551230092591</v>
      </c>
      <c r="N327" s="38">
        <f t="shared" si="27"/>
        <v>7</v>
      </c>
      <c r="O327" s="39">
        <f t="shared" ca="1" si="28"/>
        <v>139</v>
      </c>
      <c r="P327" s="40">
        <f t="shared" si="29"/>
        <v>46113</v>
      </c>
    </row>
    <row r="328" spans="1:16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36">
        <f t="shared" ca="1" si="25"/>
        <v>46304</v>
      </c>
      <c r="M328" s="37">
        <f t="shared" ca="1" si="26"/>
        <v>46304.551230092591</v>
      </c>
      <c r="N328" s="38">
        <f t="shared" si="27"/>
        <v>1</v>
      </c>
      <c r="O328" s="39">
        <f t="shared" ca="1" si="28"/>
        <v>152</v>
      </c>
      <c r="P328" s="40">
        <f t="shared" si="29"/>
        <v>46113</v>
      </c>
    </row>
    <row r="329" spans="1:16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36">
        <f t="shared" ca="1" si="25"/>
        <v>46304</v>
      </c>
      <c r="M329" s="37">
        <f t="shared" ca="1" si="26"/>
        <v>46304.551230092591</v>
      </c>
      <c r="N329" s="38">
        <f t="shared" si="27"/>
        <v>5</v>
      </c>
      <c r="O329" s="39">
        <f t="shared" ca="1" si="28"/>
        <v>195</v>
      </c>
      <c r="P329" s="40">
        <f t="shared" si="29"/>
        <v>46113</v>
      </c>
    </row>
    <row r="330" spans="1:16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36">
        <f t="shared" ca="1" si="25"/>
        <v>46304</v>
      </c>
      <c r="M330" s="37">
        <f t="shared" ca="1" si="26"/>
        <v>46304.551230092591</v>
      </c>
      <c r="N330" s="38">
        <f t="shared" si="27"/>
        <v>10</v>
      </c>
      <c r="O330" s="39">
        <f t="shared" ca="1" si="28"/>
        <v>178</v>
      </c>
      <c r="P330" s="40">
        <f t="shared" si="29"/>
        <v>46113</v>
      </c>
    </row>
    <row r="331" spans="1:16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36">
        <f t="shared" ca="1" si="25"/>
        <v>46304</v>
      </c>
      <c r="M331" s="37">
        <f t="shared" ca="1" si="26"/>
        <v>46304.551230092591</v>
      </c>
      <c r="N331" s="38">
        <f t="shared" si="27"/>
        <v>4</v>
      </c>
      <c r="O331" s="39">
        <f t="shared" ca="1" si="28"/>
        <v>272</v>
      </c>
      <c r="P331" s="40">
        <f t="shared" si="29"/>
        <v>46113</v>
      </c>
    </row>
    <row r="332" spans="1:16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36">
        <f t="shared" ca="1" si="25"/>
        <v>46304</v>
      </c>
      <c r="M332" s="37">
        <f t="shared" ca="1" si="26"/>
        <v>46304.551230092591</v>
      </c>
      <c r="N332" s="38">
        <f t="shared" si="27"/>
        <v>10</v>
      </c>
      <c r="O332" s="39">
        <f t="shared" ca="1" si="28"/>
        <v>114</v>
      </c>
      <c r="P332" s="40">
        <f t="shared" si="29"/>
        <v>46113</v>
      </c>
    </row>
    <row r="333" spans="1:16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36">
        <f t="shared" ca="1" si="25"/>
        <v>46304</v>
      </c>
      <c r="M333" s="37">
        <f t="shared" ca="1" si="26"/>
        <v>46304.551230092591</v>
      </c>
      <c r="N333" s="38">
        <f t="shared" si="27"/>
        <v>3</v>
      </c>
      <c r="O333" s="39">
        <f t="shared" ca="1" si="28"/>
        <v>150</v>
      </c>
      <c r="P333" s="40">
        <f t="shared" si="29"/>
        <v>46113</v>
      </c>
    </row>
    <row r="334" spans="1:16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36">
        <f t="shared" ca="1" si="25"/>
        <v>46304</v>
      </c>
      <c r="M334" s="37">
        <f t="shared" ca="1" si="26"/>
        <v>46304.551230092591</v>
      </c>
      <c r="N334" s="38">
        <f t="shared" si="27"/>
        <v>1</v>
      </c>
      <c r="O334" s="39">
        <f t="shared" ca="1" si="28"/>
        <v>159</v>
      </c>
      <c r="P334" s="40">
        <f t="shared" si="29"/>
        <v>46113</v>
      </c>
    </row>
    <row r="335" spans="1:16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36">
        <f t="shared" ca="1" si="25"/>
        <v>46304</v>
      </c>
      <c r="M335" s="37">
        <f t="shared" ca="1" si="26"/>
        <v>46304.551230092591</v>
      </c>
      <c r="N335" s="38">
        <f t="shared" si="27"/>
        <v>9</v>
      </c>
      <c r="O335" s="39">
        <f t="shared" ca="1" si="28"/>
        <v>266</v>
      </c>
      <c r="P335" s="40">
        <f t="shared" si="29"/>
        <v>46113</v>
      </c>
    </row>
    <row r="336" spans="1:16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36">
        <f t="shared" ca="1" si="25"/>
        <v>46304</v>
      </c>
      <c r="M336" s="37">
        <f t="shared" ca="1" si="26"/>
        <v>46304.551230092591</v>
      </c>
      <c r="N336" s="38">
        <f t="shared" si="27"/>
        <v>5</v>
      </c>
      <c r="O336" s="39">
        <f t="shared" ca="1" si="28"/>
        <v>136</v>
      </c>
      <c r="P336" s="40">
        <f t="shared" si="29"/>
        <v>46113</v>
      </c>
    </row>
    <row r="337" spans="1:16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36">
        <f t="shared" ca="1" si="25"/>
        <v>46304</v>
      </c>
      <c r="M337" s="37">
        <f t="shared" ca="1" si="26"/>
        <v>46304.551230092591</v>
      </c>
      <c r="N337" s="38">
        <f t="shared" si="27"/>
        <v>6</v>
      </c>
      <c r="O337" s="39">
        <f t="shared" ca="1" si="28"/>
        <v>218</v>
      </c>
      <c r="P337" s="40">
        <f t="shared" si="29"/>
        <v>46113</v>
      </c>
    </row>
    <row r="338" spans="1:16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36">
        <f t="shared" ca="1" si="25"/>
        <v>46304</v>
      </c>
      <c r="M338" s="37">
        <f t="shared" ca="1" si="26"/>
        <v>46304.551230092591</v>
      </c>
      <c r="N338" s="38">
        <f t="shared" si="27"/>
        <v>6</v>
      </c>
      <c r="O338" s="39">
        <f t="shared" ca="1" si="28"/>
        <v>230</v>
      </c>
      <c r="P338" s="40">
        <f t="shared" si="29"/>
        <v>46113</v>
      </c>
    </row>
    <row r="339" spans="1:16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36">
        <f t="shared" ca="1" si="25"/>
        <v>46304</v>
      </c>
      <c r="M339" s="37">
        <f t="shared" ca="1" si="26"/>
        <v>46304.551230092591</v>
      </c>
      <c r="N339" s="38">
        <f t="shared" si="27"/>
        <v>2</v>
      </c>
      <c r="O339" s="39">
        <f t="shared" ca="1" si="28"/>
        <v>127</v>
      </c>
      <c r="P339" s="40">
        <f t="shared" si="29"/>
        <v>46113</v>
      </c>
    </row>
    <row r="340" spans="1:16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36">
        <f t="shared" ca="1" si="25"/>
        <v>46304</v>
      </c>
      <c r="M340" s="37">
        <f t="shared" ca="1" si="26"/>
        <v>46304.551230092591</v>
      </c>
      <c r="N340" s="38">
        <f t="shared" si="27"/>
        <v>6</v>
      </c>
      <c r="O340" s="39">
        <f t="shared" ca="1" si="28"/>
        <v>162</v>
      </c>
      <c r="P340" s="40">
        <f t="shared" si="29"/>
        <v>46113</v>
      </c>
    </row>
    <row r="341" spans="1:16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36">
        <f t="shared" ca="1" si="25"/>
        <v>46304</v>
      </c>
      <c r="M341" s="37">
        <f t="shared" ca="1" si="26"/>
        <v>46304.551230092591</v>
      </c>
      <c r="N341" s="38">
        <f t="shared" si="27"/>
        <v>2</v>
      </c>
      <c r="O341" s="39">
        <f t="shared" ca="1" si="28"/>
        <v>108</v>
      </c>
      <c r="P341" s="40">
        <f t="shared" si="29"/>
        <v>46113</v>
      </c>
    </row>
    <row r="342" spans="1:16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36">
        <f t="shared" ca="1" si="25"/>
        <v>46304</v>
      </c>
      <c r="M342" s="37">
        <f t="shared" ca="1" si="26"/>
        <v>46304.551230092591</v>
      </c>
      <c r="N342" s="38">
        <f t="shared" si="27"/>
        <v>4</v>
      </c>
      <c r="O342" s="39">
        <f t="shared" ca="1" si="28"/>
        <v>278</v>
      </c>
      <c r="P342" s="40">
        <f t="shared" si="29"/>
        <v>46113</v>
      </c>
    </row>
    <row r="343" spans="1:16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36">
        <f t="shared" ca="1" si="25"/>
        <v>46304</v>
      </c>
      <c r="M343" s="37">
        <f t="shared" ca="1" si="26"/>
        <v>46304.551230092591</v>
      </c>
      <c r="N343" s="38">
        <f t="shared" si="27"/>
        <v>7</v>
      </c>
      <c r="O343" s="39">
        <f t="shared" ca="1" si="28"/>
        <v>172</v>
      </c>
      <c r="P343" s="40">
        <f t="shared" si="29"/>
        <v>46113</v>
      </c>
    </row>
    <row r="344" spans="1:16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36">
        <f t="shared" ca="1" si="25"/>
        <v>46304</v>
      </c>
      <c r="M344" s="37">
        <f t="shared" ca="1" si="26"/>
        <v>46304.551230092591</v>
      </c>
      <c r="N344" s="38">
        <f t="shared" si="27"/>
        <v>5</v>
      </c>
      <c r="O344" s="39">
        <f t="shared" ca="1" si="28"/>
        <v>130</v>
      </c>
      <c r="P344" s="40">
        <f t="shared" si="29"/>
        <v>46113</v>
      </c>
    </row>
    <row r="345" spans="1:16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36">
        <f t="shared" ca="1" si="25"/>
        <v>46304</v>
      </c>
      <c r="M345" s="37">
        <f t="shared" ca="1" si="26"/>
        <v>46304.551230092591</v>
      </c>
      <c r="N345" s="38">
        <f t="shared" si="27"/>
        <v>1</v>
      </c>
      <c r="O345" s="39">
        <f t="shared" ca="1" si="28"/>
        <v>149</v>
      </c>
      <c r="P345" s="40">
        <f t="shared" si="29"/>
        <v>46113</v>
      </c>
    </row>
    <row r="346" spans="1:16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36">
        <f t="shared" ca="1" si="25"/>
        <v>46304</v>
      </c>
      <c r="M346" s="37">
        <f t="shared" ca="1" si="26"/>
        <v>46304.551230092591</v>
      </c>
      <c r="N346" s="38">
        <f t="shared" si="27"/>
        <v>2</v>
      </c>
      <c r="O346" s="39">
        <f t="shared" ca="1" si="28"/>
        <v>209</v>
      </c>
      <c r="P346" s="40">
        <f t="shared" si="29"/>
        <v>46113</v>
      </c>
    </row>
    <row r="347" spans="1:16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36">
        <f t="shared" ca="1" si="25"/>
        <v>46304</v>
      </c>
      <c r="M347" s="37">
        <f t="shared" ca="1" si="26"/>
        <v>46304.551230092591</v>
      </c>
      <c r="N347" s="38">
        <f t="shared" si="27"/>
        <v>2</v>
      </c>
      <c r="O347" s="39">
        <f t="shared" ca="1" si="28"/>
        <v>164</v>
      </c>
      <c r="P347" s="40">
        <f t="shared" si="29"/>
        <v>46113</v>
      </c>
    </row>
    <row r="348" spans="1:16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36">
        <f t="shared" ca="1" si="25"/>
        <v>46304</v>
      </c>
      <c r="M348" s="37">
        <f t="shared" ca="1" si="26"/>
        <v>46304.551230092591</v>
      </c>
      <c r="N348" s="38">
        <f t="shared" si="27"/>
        <v>7</v>
      </c>
      <c r="O348" s="39">
        <f t="shared" ca="1" si="28"/>
        <v>267</v>
      </c>
      <c r="P348" s="40">
        <f t="shared" si="29"/>
        <v>46113</v>
      </c>
    </row>
    <row r="349" spans="1:16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36">
        <f t="shared" ca="1" si="25"/>
        <v>46304</v>
      </c>
      <c r="M349" s="37">
        <f t="shared" ca="1" si="26"/>
        <v>46304.551230092591</v>
      </c>
      <c r="N349" s="38">
        <f t="shared" si="27"/>
        <v>5</v>
      </c>
      <c r="O349" s="39">
        <f t="shared" ca="1" si="28"/>
        <v>256</v>
      </c>
      <c r="P349" s="40">
        <f t="shared" si="29"/>
        <v>46113</v>
      </c>
    </row>
    <row r="350" spans="1:16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36">
        <f t="shared" ca="1" si="25"/>
        <v>46304</v>
      </c>
      <c r="M350" s="37">
        <f t="shared" ca="1" si="26"/>
        <v>46304.551230092591</v>
      </c>
      <c r="N350" s="38">
        <f t="shared" si="27"/>
        <v>4</v>
      </c>
      <c r="O350" s="39">
        <f t="shared" ca="1" si="28"/>
        <v>225</v>
      </c>
      <c r="P350" s="40">
        <f t="shared" si="29"/>
        <v>46113</v>
      </c>
    </row>
    <row r="351" spans="1:16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36">
        <f t="shared" ca="1" si="25"/>
        <v>46304</v>
      </c>
      <c r="M351" s="37">
        <f t="shared" ca="1" si="26"/>
        <v>46304.551230092591</v>
      </c>
      <c r="N351" s="38">
        <f t="shared" si="27"/>
        <v>5</v>
      </c>
      <c r="O351" s="39">
        <f t="shared" ca="1" si="28"/>
        <v>119</v>
      </c>
      <c r="P351" s="40">
        <f t="shared" si="29"/>
        <v>46113</v>
      </c>
    </row>
    <row r="352" spans="1:16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36">
        <f t="shared" ca="1" si="25"/>
        <v>46304</v>
      </c>
      <c r="M352" s="37">
        <f t="shared" ca="1" si="26"/>
        <v>46304.551230092591</v>
      </c>
      <c r="N352" s="38">
        <f t="shared" si="27"/>
        <v>3</v>
      </c>
      <c r="O352" s="39">
        <f t="shared" ca="1" si="28"/>
        <v>278</v>
      </c>
      <c r="P352" s="40">
        <f t="shared" si="29"/>
        <v>46113</v>
      </c>
    </row>
    <row r="353" spans="1:16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36">
        <f t="shared" ca="1" si="25"/>
        <v>46304</v>
      </c>
      <c r="M353" s="37">
        <f t="shared" ca="1" si="26"/>
        <v>46304.551230092591</v>
      </c>
      <c r="N353" s="38">
        <f t="shared" si="27"/>
        <v>9</v>
      </c>
      <c r="O353" s="39">
        <f t="shared" ca="1" si="28"/>
        <v>280</v>
      </c>
      <c r="P353" s="40">
        <f t="shared" si="29"/>
        <v>46113</v>
      </c>
    </row>
    <row r="354" spans="1:16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36">
        <f t="shared" ca="1" si="25"/>
        <v>46304</v>
      </c>
      <c r="M354" s="37">
        <f t="shared" ca="1" si="26"/>
        <v>46304.551230092591</v>
      </c>
      <c r="N354" s="38">
        <f t="shared" si="27"/>
        <v>6</v>
      </c>
      <c r="O354" s="39">
        <f t="shared" ca="1" si="28"/>
        <v>110</v>
      </c>
      <c r="P354" s="40">
        <f t="shared" si="29"/>
        <v>46113</v>
      </c>
    </row>
    <row r="355" spans="1:16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36">
        <f t="shared" ca="1" si="25"/>
        <v>46304</v>
      </c>
      <c r="M355" s="37">
        <f t="shared" ca="1" si="26"/>
        <v>46304.551230092591</v>
      </c>
      <c r="N355" s="38">
        <f t="shared" si="27"/>
        <v>2</v>
      </c>
      <c r="O355" s="39">
        <f t="shared" ca="1" si="28"/>
        <v>186</v>
      </c>
      <c r="P355" s="40">
        <f t="shared" si="29"/>
        <v>46113</v>
      </c>
    </row>
    <row r="356" spans="1:16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36">
        <f t="shared" ca="1" si="25"/>
        <v>46304</v>
      </c>
      <c r="M356" s="37">
        <f t="shared" ca="1" si="26"/>
        <v>46304.551230092591</v>
      </c>
      <c r="N356" s="38">
        <f t="shared" si="27"/>
        <v>7</v>
      </c>
      <c r="O356" s="39">
        <f t="shared" ca="1" si="28"/>
        <v>280</v>
      </c>
      <c r="P356" s="40">
        <f t="shared" si="29"/>
        <v>46113</v>
      </c>
    </row>
    <row r="357" spans="1:16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36">
        <f t="shared" ca="1" si="25"/>
        <v>46304</v>
      </c>
      <c r="M357" s="37">
        <f t="shared" ca="1" si="26"/>
        <v>46304.551230092591</v>
      </c>
      <c r="N357" s="38">
        <f t="shared" si="27"/>
        <v>3</v>
      </c>
      <c r="O357" s="39">
        <f t="shared" ca="1" si="28"/>
        <v>103</v>
      </c>
      <c r="P357" s="40">
        <f t="shared" si="29"/>
        <v>46113</v>
      </c>
    </row>
    <row r="358" spans="1:16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36">
        <f t="shared" ca="1" si="25"/>
        <v>46304</v>
      </c>
      <c r="M358" s="37">
        <f t="shared" ca="1" si="26"/>
        <v>46304.551230092591</v>
      </c>
      <c r="N358" s="38">
        <f t="shared" si="27"/>
        <v>7</v>
      </c>
      <c r="O358" s="39">
        <f t="shared" ca="1" si="28"/>
        <v>171</v>
      </c>
      <c r="P358" s="40">
        <f t="shared" si="29"/>
        <v>46113</v>
      </c>
    </row>
    <row r="359" spans="1:16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36">
        <f t="shared" ca="1" si="25"/>
        <v>46304</v>
      </c>
      <c r="M359" s="37">
        <f t="shared" ca="1" si="26"/>
        <v>46304.551230092591</v>
      </c>
      <c r="N359" s="38">
        <f t="shared" si="27"/>
        <v>2</v>
      </c>
      <c r="O359" s="39">
        <f t="shared" ca="1" si="28"/>
        <v>177</v>
      </c>
      <c r="P359" s="40">
        <f t="shared" si="29"/>
        <v>46113</v>
      </c>
    </row>
    <row r="360" spans="1:16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36">
        <f t="shared" ca="1" si="25"/>
        <v>46304</v>
      </c>
      <c r="M360" s="37">
        <f t="shared" ca="1" si="26"/>
        <v>46304.551230092591</v>
      </c>
      <c r="N360" s="38">
        <f t="shared" si="27"/>
        <v>3</v>
      </c>
      <c r="O360" s="39">
        <f t="shared" ca="1" si="28"/>
        <v>208</v>
      </c>
      <c r="P360" s="40">
        <f t="shared" si="29"/>
        <v>46113</v>
      </c>
    </row>
    <row r="361" spans="1:16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36">
        <f t="shared" ca="1" si="25"/>
        <v>46304</v>
      </c>
      <c r="M361" s="37">
        <f t="shared" ca="1" si="26"/>
        <v>46304.551230092591</v>
      </c>
      <c r="N361" s="38">
        <f t="shared" si="27"/>
        <v>4</v>
      </c>
      <c r="O361" s="39">
        <f t="shared" ca="1" si="28"/>
        <v>158</v>
      </c>
      <c r="P361" s="40">
        <f t="shared" si="29"/>
        <v>46113</v>
      </c>
    </row>
    <row r="362" spans="1:16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36">
        <f t="shared" ca="1" si="25"/>
        <v>46304</v>
      </c>
      <c r="M362" s="37">
        <f t="shared" ca="1" si="26"/>
        <v>46304.551230092591</v>
      </c>
      <c r="N362" s="38">
        <f t="shared" si="27"/>
        <v>4</v>
      </c>
      <c r="O362" s="39">
        <f t="shared" ca="1" si="28"/>
        <v>163</v>
      </c>
      <c r="P362" s="40">
        <f t="shared" si="29"/>
        <v>46113</v>
      </c>
    </row>
    <row r="363" spans="1:16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36">
        <f t="shared" ca="1" si="25"/>
        <v>46304</v>
      </c>
      <c r="M363" s="37">
        <f t="shared" ca="1" si="26"/>
        <v>46304.551230092591</v>
      </c>
      <c r="N363" s="38">
        <f t="shared" si="27"/>
        <v>2</v>
      </c>
      <c r="O363" s="39">
        <f t="shared" ca="1" si="28"/>
        <v>210</v>
      </c>
      <c r="P363" s="40">
        <f t="shared" si="29"/>
        <v>46113</v>
      </c>
    </row>
    <row r="364" spans="1:16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36">
        <f t="shared" ca="1" si="25"/>
        <v>46304</v>
      </c>
      <c r="M364" s="37">
        <f t="shared" ca="1" si="26"/>
        <v>46304.551230092591</v>
      </c>
      <c r="N364" s="38">
        <f t="shared" si="27"/>
        <v>6</v>
      </c>
      <c r="O364" s="39">
        <f t="shared" ca="1" si="28"/>
        <v>182</v>
      </c>
      <c r="P364" s="40">
        <f t="shared" si="29"/>
        <v>46113</v>
      </c>
    </row>
    <row r="365" spans="1:16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36">
        <f t="shared" ca="1" si="25"/>
        <v>46304</v>
      </c>
      <c r="M365" s="37">
        <f t="shared" ca="1" si="26"/>
        <v>46304.551230092591</v>
      </c>
      <c r="N365" s="38">
        <f t="shared" si="27"/>
        <v>2</v>
      </c>
      <c r="O365" s="39">
        <f t="shared" ca="1" si="28"/>
        <v>273</v>
      </c>
      <c r="P365" s="40">
        <f t="shared" si="29"/>
        <v>46113</v>
      </c>
    </row>
    <row r="366" spans="1:16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36">
        <f t="shared" ca="1" si="25"/>
        <v>46304</v>
      </c>
      <c r="M366" s="37">
        <f t="shared" ca="1" si="26"/>
        <v>46304.551230092591</v>
      </c>
      <c r="N366" s="38">
        <f t="shared" si="27"/>
        <v>2</v>
      </c>
      <c r="O366" s="39">
        <f t="shared" ca="1" si="28"/>
        <v>234</v>
      </c>
      <c r="P366" s="40">
        <f t="shared" si="29"/>
        <v>46113</v>
      </c>
    </row>
    <row r="367" spans="1:16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36">
        <f t="shared" ca="1" si="25"/>
        <v>46304</v>
      </c>
      <c r="M367" s="37">
        <f t="shared" ca="1" si="26"/>
        <v>46304.551230092591</v>
      </c>
      <c r="N367" s="38">
        <f t="shared" si="27"/>
        <v>7</v>
      </c>
      <c r="O367" s="39">
        <f t="shared" ca="1" si="28"/>
        <v>257</v>
      </c>
      <c r="P367" s="40">
        <f t="shared" si="29"/>
        <v>46113</v>
      </c>
    </row>
    <row r="368" spans="1:16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36">
        <f t="shared" ca="1" si="25"/>
        <v>46304</v>
      </c>
      <c r="M368" s="37">
        <f t="shared" ca="1" si="26"/>
        <v>46304.551230092591</v>
      </c>
      <c r="N368" s="38">
        <f t="shared" si="27"/>
        <v>10</v>
      </c>
      <c r="O368" s="39">
        <f t="shared" ca="1" si="28"/>
        <v>146</v>
      </c>
      <c r="P368" s="40">
        <f t="shared" si="29"/>
        <v>46113</v>
      </c>
    </row>
    <row r="369" spans="1:16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36">
        <f t="shared" ca="1" si="25"/>
        <v>46304</v>
      </c>
      <c r="M369" s="37">
        <f t="shared" ca="1" si="26"/>
        <v>46304.551230092591</v>
      </c>
      <c r="N369" s="38">
        <f t="shared" si="27"/>
        <v>9</v>
      </c>
      <c r="O369" s="39">
        <f t="shared" ca="1" si="28"/>
        <v>268</v>
      </c>
      <c r="P369" s="40">
        <f t="shared" si="29"/>
        <v>46113</v>
      </c>
    </row>
    <row r="370" spans="1:16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36">
        <f t="shared" ca="1" si="25"/>
        <v>46304</v>
      </c>
      <c r="M370" s="37">
        <f t="shared" ca="1" si="26"/>
        <v>46304.551230092591</v>
      </c>
      <c r="N370" s="38">
        <f t="shared" si="27"/>
        <v>5</v>
      </c>
      <c r="O370" s="39">
        <f t="shared" ca="1" si="28"/>
        <v>242</v>
      </c>
      <c r="P370" s="40">
        <f t="shared" si="29"/>
        <v>46113</v>
      </c>
    </row>
    <row r="371" spans="1:16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36">
        <f t="shared" ca="1" si="25"/>
        <v>46304</v>
      </c>
      <c r="M371" s="37">
        <f t="shared" ca="1" si="26"/>
        <v>46304.551230092591</v>
      </c>
      <c r="N371" s="38">
        <f t="shared" si="27"/>
        <v>4</v>
      </c>
      <c r="O371" s="39">
        <f t="shared" ca="1" si="28"/>
        <v>120</v>
      </c>
      <c r="P371" s="40">
        <f t="shared" si="29"/>
        <v>46113</v>
      </c>
    </row>
    <row r="372" spans="1:16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36">
        <f t="shared" ca="1" si="25"/>
        <v>46304</v>
      </c>
      <c r="M372" s="37">
        <f t="shared" ca="1" si="26"/>
        <v>46304.551230092591</v>
      </c>
      <c r="N372" s="38">
        <f t="shared" si="27"/>
        <v>10</v>
      </c>
      <c r="O372" s="39">
        <f t="shared" ca="1" si="28"/>
        <v>232</v>
      </c>
      <c r="P372" s="40">
        <f t="shared" si="29"/>
        <v>46113</v>
      </c>
    </row>
    <row r="373" spans="1:16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36">
        <f t="shared" ca="1" si="25"/>
        <v>46304</v>
      </c>
      <c r="M373" s="37">
        <f t="shared" ca="1" si="26"/>
        <v>46304.551230092591</v>
      </c>
      <c r="N373" s="38">
        <f t="shared" si="27"/>
        <v>7</v>
      </c>
      <c r="O373" s="39">
        <f t="shared" ca="1" si="28"/>
        <v>143</v>
      </c>
      <c r="P373" s="40">
        <f t="shared" si="29"/>
        <v>46113</v>
      </c>
    </row>
    <row r="374" spans="1:16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36">
        <f t="shared" ca="1" si="25"/>
        <v>46304</v>
      </c>
      <c r="M374" s="37">
        <f t="shared" ca="1" si="26"/>
        <v>46304.551230092591</v>
      </c>
      <c r="N374" s="38">
        <f t="shared" si="27"/>
        <v>10</v>
      </c>
      <c r="O374" s="39">
        <f t="shared" ca="1" si="28"/>
        <v>113</v>
      </c>
      <c r="P374" s="40">
        <f t="shared" si="29"/>
        <v>46113</v>
      </c>
    </row>
    <row r="375" spans="1:16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36">
        <f t="shared" ca="1" si="25"/>
        <v>46304</v>
      </c>
      <c r="M375" s="37">
        <f t="shared" ca="1" si="26"/>
        <v>46304.551230092591</v>
      </c>
      <c r="N375" s="38">
        <f t="shared" si="27"/>
        <v>3</v>
      </c>
      <c r="O375" s="39">
        <f t="shared" ca="1" si="28"/>
        <v>241</v>
      </c>
      <c r="P375" s="40">
        <f t="shared" si="29"/>
        <v>46113</v>
      </c>
    </row>
    <row r="376" spans="1:16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36">
        <f t="shared" ca="1" si="25"/>
        <v>46304</v>
      </c>
      <c r="M376" s="37">
        <f t="shared" ca="1" si="26"/>
        <v>46304.551230092591</v>
      </c>
      <c r="N376" s="38">
        <f t="shared" si="27"/>
        <v>9</v>
      </c>
      <c r="O376" s="39">
        <f t="shared" ca="1" si="28"/>
        <v>252</v>
      </c>
      <c r="P376" s="40">
        <f t="shared" si="29"/>
        <v>46113</v>
      </c>
    </row>
    <row r="377" spans="1:16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36">
        <f t="shared" ca="1" si="25"/>
        <v>46304</v>
      </c>
      <c r="M377" s="37">
        <f t="shared" ca="1" si="26"/>
        <v>46304.551230092591</v>
      </c>
      <c r="N377" s="38">
        <f t="shared" si="27"/>
        <v>6</v>
      </c>
      <c r="O377" s="39">
        <f t="shared" ca="1" si="28"/>
        <v>126</v>
      </c>
      <c r="P377" s="40">
        <f t="shared" si="29"/>
        <v>46113</v>
      </c>
    </row>
    <row r="378" spans="1:16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36">
        <f t="shared" ca="1" si="25"/>
        <v>46304</v>
      </c>
      <c r="M378" s="37">
        <f t="shared" ca="1" si="26"/>
        <v>46304.551230092591</v>
      </c>
      <c r="N378" s="38">
        <f t="shared" si="27"/>
        <v>6</v>
      </c>
      <c r="O378" s="39">
        <f t="shared" ca="1" si="28"/>
        <v>199</v>
      </c>
      <c r="P378" s="40">
        <f t="shared" si="29"/>
        <v>46113</v>
      </c>
    </row>
    <row r="379" spans="1:16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36">
        <f t="shared" ca="1" si="25"/>
        <v>46304</v>
      </c>
      <c r="M379" s="37">
        <f t="shared" ca="1" si="26"/>
        <v>46304.551230092591</v>
      </c>
      <c r="N379" s="38">
        <f t="shared" si="27"/>
        <v>6</v>
      </c>
      <c r="O379" s="39">
        <f t="shared" ca="1" si="28"/>
        <v>230</v>
      </c>
      <c r="P379" s="40">
        <f t="shared" si="29"/>
        <v>46113</v>
      </c>
    </row>
    <row r="380" spans="1:16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36">
        <f t="shared" ca="1" si="25"/>
        <v>46304</v>
      </c>
      <c r="M380" s="37">
        <f t="shared" ca="1" si="26"/>
        <v>46304.551230092591</v>
      </c>
      <c r="N380" s="38">
        <f t="shared" si="27"/>
        <v>1</v>
      </c>
      <c r="O380" s="39">
        <f t="shared" ca="1" si="28"/>
        <v>198</v>
      </c>
      <c r="P380" s="40">
        <f t="shared" si="29"/>
        <v>46113</v>
      </c>
    </row>
    <row r="381" spans="1:16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36">
        <f t="shared" ca="1" si="25"/>
        <v>46304</v>
      </c>
      <c r="M381" s="37">
        <f t="shared" ca="1" si="26"/>
        <v>46304.551230092591</v>
      </c>
      <c r="N381" s="38">
        <f t="shared" si="27"/>
        <v>10</v>
      </c>
      <c r="O381" s="39">
        <f t="shared" ca="1" si="28"/>
        <v>176</v>
      </c>
      <c r="P381" s="40">
        <f t="shared" si="29"/>
        <v>46113</v>
      </c>
    </row>
    <row r="382" spans="1:16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36">
        <f t="shared" ca="1" si="25"/>
        <v>46304</v>
      </c>
      <c r="M382" s="37">
        <f t="shared" ca="1" si="26"/>
        <v>46304.551230092591</v>
      </c>
      <c r="N382" s="38">
        <f t="shared" si="27"/>
        <v>4</v>
      </c>
      <c r="O382" s="39">
        <f t="shared" ca="1" si="28"/>
        <v>215</v>
      </c>
      <c r="P382" s="40">
        <f t="shared" si="29"/>
        <v>46113</v>
      </c>
    </row>
    <row r="383" spans="1:16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36">
        <f t="shared" ca="1" si="25"/>
        <v>46304</v>
      </c>
      <c r="M383" s="37">
        <f t="shared" ca="1" si="26"/>
        <v>46304.551230092591</v>
      </c>
      <c r="N383" s="38">
        <f t="shared" si="27"/>
        <v>4</v>
      </c>
      <c r="O383" s="39">
        <f t="shared" ca="1" si="28"/>
        <v>174</v>
      </c>
      <c r="P383" s="40">
        <f t="shared" si="29"/>
        <v>46113</v>
      </c>
    </row>
    <row r="384" spans="1:16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36">
        <f t="shared" ca="1" si="25"/>
        <v>46304</v>
      </c>
      <c r="M384" s="37">
        <f t="shared" ca="1" si="26"/>
        <v>46304.551230092591</v>
      </c>
      <c r="N384" s="38">
        <f t="shared" si="27"/>
        <v>7</v>
      </c>
      <c r="O384" s="39">
        <f t="shared" ca="1" si="28"/>
        <v>108</v>
      </c>
      <c r="P384" s="40">
        <f t="shared" si="29"/>
        <v>46113</v>
      </c>
    </row>
    <row r="385" spans="1:16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36">
        <f t="shared" ca="1" si="25"/>
        <v>46304</v>
      </c>
      <c r="M385" s="37">
        <f t="shared" ca="1" si="26"/>
        <v>46304.551230092591</v>
      </c>
      <c r="N385" s="38">
        <f t="shared" si="27"/>
        <v>4</v>
      </c>
      <c r="O385" s="39">
        <f t="shared" ca="1" si="28"/>
        <v>230</v>
      </c>
      <c r="P385" s="40">
        <f t="shared" si="29"/>
        <v>46113</v>
      </c>
    </row>
    <row r="386" spans="1:16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36">
        <f t="shared" ca="1" si="25"/>
        <v>46304</v>
      </c>
      <c r="M386" s="37">
        <f t="shared" ca="1" si="26"/>
        <v>46304.551230092591</v>
      </c>
      <c r="N386" s="38">
        <f t="shared" si="27"/>
        <v>5</v>
      </c>
      <c r="O386" s="39">
        <f t="shared" ca="1" si="28"/>
        <v>256</v>
      </c>
      <c r="P386" s="40">
        <f t="shared" si="29"/>
        <v>46113</v>
      </c>
    </row>
    <row r="387" spans="1:16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36">
        <f t="shared" ref="L387:L401" ca="1" si="30">TODAY()</f>
        <v>46304</v>
      </c>
      <c r="M387" s="37">
        <f t="shared" ref="M387:M401" ca="1" si="31">NOW()</f>
        <v>46304.551230092591</v>
      </c>
      <c r="N387" s="38">
        <f t="shared" ref="N387:N401" si="32">(J387-I387)</f>
        <v>9</v>
      </c>
      <c r="O387" s="39">
        <f t="shared" ref="O387:O401" ca="1" si="33">(L387-I387)</f>
        <v>142</v>
      </c>
      <c r="P387" s="40">
        <f t="shared" ref="P387:P401" si="34">DATE(2026,4,1)</f>
        <v>46113</v>
      </c>
    </row>
    <row r="388" spans="1:16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36">
        <f t="shared" ca="1" si="30"/>
        <v>46304</v>
      </c>
      <c r="M388" s="37">
        <f t="shared" ca="1" si="31"/>
        <v>46304.551230092591</v>
      </c>
      <c r="N388" s="38">
        <f t="shared" si="32"/>
        <v>10</v>
      </c>
      <c r="O388" s="39">
        <f t="shared" ca="1" si="33"/>
        <v>202</v>
      </c>
      <c r="P388" s="40">
        <f t="shared" si="34"/>
        <v>46113</v>
      </c>
    </row>
    <row r="389" spans="1:16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36">
        <f t="shared" ca="1" si="30"/>
        <v>46304</v>
      </c>
      <c r="M389" s="37">
        <f t="shared" ca="1" si="31"/>
        <v>46304.551230092591</v>
      </c>
      <c r="N389" s="38">
        <f t="shared" si="32"/>
        <v>2</v>
      </c>
      <c r="O389" s="39">
        <f t="shared" ca="1" si="33"/>
        <v>210</v>
      </c>
      <c r="P389" s="40">
        <f t="shared" si="34"/>
        <v>46113</v>
      </c>
    </row>
    <row r="390" spans="1:16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36">
        <f t="shared" ca="1" si="30"/>
        <v>46304</v>
      </c>
      <c r="M390" s="37">
        <f t="shared" ca="1" si="31"/>
        <v>46304.551230092591</v>
      </c>
      <c r="N390" s="38">
        <f t="shared" si="32"/>
        <v>4</v>
      </c>
      <c r="O390" s="39">
        <f t="shared" ca="1" si="33"/>
        <v>260</v>
      </c>
      <c r="P390" s="40">
        <f t="shared" si="34"/>
        <v>46113</v>
      </c>
    </row>
    <row r="391" spans="1:16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36">
        <f t="shared" ca="1" si="30"/>
        <v>46304</v>
      </c>
      <c r="M391" s="37">
        <f t="shared" ca="1" si="31"/>
        <v>46304.551230092591</v>
      </c>
      <c r="N391" s="38">
        <f t="shared" si="32"/>
        <v>5</v>
      </c>
      <c r="O391" s="39">
        <f t="shared" ca="1" si="33"/>
        <v>228</v>
      </c>
      <c r="P391" s="40">
        <f t="shared" si="34"/>
        <v>46113</v>
      </c>
    </row>
    <row r="392" spans="1:16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36">
        <f t="shared" ca="1" si="30"/>
        <v>46304</v>
      </c>
      <c r="M392" s="37">
        <f t="shared" ca="1" si="31"/>
        <v>46304.551230092591</v>
      </c>
      <c r="N392" s="38">
        <f t="shared" si="32"/>
        <v>3</v>
      </c>
      <c r="O392" s="39">
        <f t="shared" ca="1" si="33"/>
        <v>204</v>
      </c>
      <c r="P392" s="40">
        <f t="shared" si="34"/>
        <v>46113</v>
      </c>
    </row>
    <row r="393" spans="1:16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36">
        <f t="shared" ca="1" si="30"/>
        <v>46304</v>
      </c>
      <c r="M393" s="37">
        <f t="shared" ca="1" si="31"/>
        <v>46304.551230092591</v>
      </c>
      <c r="N393" s="38">
        <f t="shared" si="32"/>
        <v>1</v>
      </c>
      <c r="O393" s="39">
        <f t="shared" ca="1" si="33"/>
        <v>180</v>
      </c>
      <c r="P393" s="40">
        <f t="shared" si="34"/>
        <v>46113</v>
      </c>
    </row>
    <row r="394" spans="1:16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36">
        <f t="shared" ca="1" si="30"/>
        <v>46304</v>
      </c>
      <c r="M394" s="37">
        <f t="shared" ca="1" si="31"/>
        <v>46304.551230092591</v>
      </c>
      <c r="N394" s="38">
        <f t="shared" si="32"/>
        <v>4</v>
      </c>
      <c r="O394" s="39">
        <f t="shared" ca="1" si="33"/>
        <v>257</v>
      </c>
      <c r="P394" s="40">
        <f t="shared" si="34"/>
        <v>46113</v>
      </c>
    </row>
    <row r="395" spans="1:16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36">
        <f t="shared" ca="1" si="30"/>
        <v>46304</v>
      </c>
      <c r="M395" s="37">
        <f t="shared" ca="1" si="31"/>
        <v>46304.551230092591</v>
      </c>
      <c r="N395" s="38">
        <f t="shared" si="32"/>
        <v>1</v>
      </c>
      <c r="O395" s="39">
        <f t="shared" ca="1" si="33"/>
        <v>248</v>
      </c>
      <c r="P395" s="40">
        <f t="shared" si="34"/>
        <v>46113</v>
      </c>
    </row>
    <row r="396" spans="1:16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36">
        <f t="shared" ca="1" si="30"/>
        <v>46304</v>
      </c>
      <c r="M396" s="37">
        <f t="shared" ca="1" si="31"/>
        <v>46304.551230092591</v>
      </c>
      <c r="N396" s="38">
        <f t="shared" si="32"/>
        <v>5</v>
      </c>
      <c r="O396" s="39">
        <f t="shared" ca="1" si="33"/>
        <v>242</v>
      </c>
      <c r="P396" s="40">
        <f t="shared" si="34"/>
        <v>46113</v>
      </c>
    </row>
    <row r="397" spans="1:16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36">
        <f t="shared" ca="1" si="30"/>
        <v>46304</v>
      </c>
      <c r="M397" s="37">
        <f t="shared" ca="1" si="31"/>
        <v>46304.551230092591</v>
      </c>
      <c r="N397" s="38">
        <f t="shared" si="32"/>
        <v>4</v>
      </c>
      <c r="O397" s="39">
        <f t="shared" ca="1" si="33"/>
        <v>273</v>
      </c>
      <c r="P397" s="40">
        <f t="shared" si="34"/>
        <v>46113</v>
      </c>
    </row>
    <row r="398" spans="1:16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36">
        <f t="shared" ca="1" si="30"/>
        <v>46304</v>
      </c>
      <c r="M398" s="37">
        <f t="shared" ca="1" si="31"/>
        <v>46304.551230092591</v>
      </c>
      <c r="N398" s="38">
        <f t="shared" si="32"/>
        <v>7</v>
      </c>
      <c r="O398" s="39">
        <f t="shared" ca="1" si="33"/>
        <v>110</v>
      </c>
      <c r="P398" s="40">
        <f t="shared" si="34"/>
        <v>46113</v>
      </c>
    </row>
    <row r="399" spans="1:16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36">
        <f t="shared" ca="1" si="30"/>
        <v>46304</v>
      </c>
      <c r="M399" s="37">
        <f t="shared" ca="1" si="31"/>
        <v>46304.551230092591</v>
      </c>
      <c r="N399" s="38">
        <f t="shared" si="32"/>
        <v>6</v>
      </c>
      <c r="O399" s="39">
        <f t="shared" ca="1" si="33"/>
        <v>134</v>
      </c>
      <c r="P399" s="40">
        <f t="shared" si="34"/>
        <v>46113</v>
      </c>
    </row>
    <row r="400" spans="1:16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36">
        <f t="shared" ca="1" si="30"/>
        <v>46304</v>
      </c>
      <c r="M400" s="37">
        <f t="shared" ca="1" si="31"/>
        <v>46304.551230092591</v>
      </c>
      <c r="N400" s="38">
        <f t="shared" si="32"/>
        <v>4</v>
      </c>
      <c r="O400" s="39">
        <f t="shared" ca="1" si="33"/>
        <v>215</v>
      </c>
      <c r="P400" s="40">
        <f t="shared" si="34"/>
        <v>46113</v>
      </c>
    </row>
    <row r="401" spans="1:16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36">
        <f t="shared" ca="1" si="30"/>
        <v>46304</v>
      </c>
      <c r="M401" s="37">
        <f t="shared" ca="1" si="31"/>
        <v>46304.551230092591</v>
      </c>
      <c r="N401" s="38">
        <f t="shared" si="32"/>
        <v>2</v>
      </c>
      <c r="O401" s="39">
        <f t="shared" ca="1" si="33"/>
        <v>214</v>
      </c>
      <c r="P401" s="40">
        <f t="shared" si="34"/>
        <v>46113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DF3D-3074-4B1B-B019-DB69B3442E73}">
  <dimension ref="A1:L401"/>
  <sheetViews>
    <sheetView zoomScale="85" zoomScaleNormal="85" workbookViewId="0">
      <selection activeCell="N8" sqref="N8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2.33203125" bestFit="1" customWidth="1"/>
  </cols>
  <sheetData>
    <row r="1" spans="1:12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84</v>
      </c>
    </row>
    <row r="2" spans="1:12" ht="15.6" x14ac:dyDescent="0.3">
      <c r="A2" s="3">
        <v>1001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3</v>
      </c>
      <c r="G2" s="4">
        <v>222</v>
      </c>
      <c r="H2" s="4">
        <v>15</v>
      </c>
      <c r="I2" s="5">
        <v>46081</v>
      </c>
      <c r="J2" s="5">
        <v>46083</v>
      </c>
      <c r="K2" s="24" t="s">
        <v>15</v>
      </c>
      <c r="L2" s="39">
        <f>(F2*G2)</f>
        <v>666</v>
      </c>
    </row>
    <row r="3" spans="1:12" ht="15.6" x14ac:dyDescent="0.3">
      <c r="A3" s="3">
        <v>1002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7</v>
      </c>
      <c r="G3" s="4">
        <v>8448</v>
      </c>
      <c r="H3" s="4">
        <v>12</v>
      </c>
      <c r="I3" s="5">
        <v>46174</v>
      </c>
      <c r="J3" s="5">
        <v>46179</v>
      </c>
      <c r="K3" s="24" t="s">
        <v>20</v>
      </c>
      <c r="L3" s="39">
        <f t="shared" ref="L3:L66" si="0">(F3*G3)</f>
        <v>59136</v>
      </c>
    </row>
    <row r="4" spans="1:12" ht="15.6" x14ac:dyDescent="0.3">
      <c r="A4" s="3">
        <v>1003</v>
      </c>
      <c r="B4" s="4" t="s">
        <v>21</v>
      </c>
      <c r="C4" s="4" t="s">
        <v>22</v>
      </c>
      <c r="D4" s="4" t="s">
        <v>18</v>
      </c>
      <c r="E4" s="4" t="s">
        <v>23</v>
      </c>
      <c r="F4" s="4">
        <v>20</v>
      </c>
      <c r="G4" s="4">
        <v>2123</v>
      </c>
      <c r="H4" s="4">
        <v>15</v>
      </c>
      <c r="I4" s="5">
        <v>46183</v>
      </c>
      <c r="J4" s="5">
        <v>46192</v>
      </c>
      <c r="K4" s="24" t="s">
        <v>24</v>
      </c>
      <c r="L4" s="39">
        <f t="shared" si="0"/>
        <v>42460</v>
      </c>
    </row>
    <row r="5" spans="1:12" ht="15.6" x14ac:dyDescent="0.3">
      <c r="A5" s="3">
        <v>1004</v>
      </c>
      <c r="B5" s="4" t="s">
        <v>16</v>
      </c>
      <c r="C5" s="4" t="s">
        <v>25</v>
      </c>
      <c r="D5" s="4" t="s">
        <v>18</v>
      </c>
      <c r="E5" s="4" t="s">
        <v>23</v>
      </c>
      <c r="F5" s="4">
        <v>16</v>
      </c>
      <c r="G5" s="4">
        <v>11739</v>
      </c>
      <c r="H5" s="4">
        <v>12</v>
      </c>
      <c r="I5" s="5">
        <v>46034</v>
      </c>
      <c r="J5" s="5">
        <v>46040</v>
      </c>
      <c r="K5" s="24" t="s">
        <v>20</v>
      </c>
      <c r="L5" s="39">
        <f t="shared" si="0"/>
        <v>187824</v>
      </c>
    </row>
    <row r="6" spans="1:12" ht="15.6" x14ac:dyDescent="0.3">
      <c r="A6" s="3">
        <v>1005</v>
      </c>
      <c r="B6" s="4" t="s">
        <v>26</v>
      </c>
      <c r="C6" s="4" t="s">
        <v>17</v>
      </c>
      <c r="D6" s="4" t="s">
        <v>13</v>
      </c>
      <c r="E6" s="4" t="s">
        <v>14</v>
      </c>
      <c r="F6" s="4">
        <v>18</v>
      </c>
      <c r="G6" s="4">
        <v>70</v>
      </c>
      <c r="H6" s="4">
        <v>0</v>
      </c>
      <c r="I6" s="5">
        <v>46171</v>
      </c>
      <c r="J6" s="5">
        <v>46179</v>
      </c>
      <c r="K6" s="24" t="s">
        <v>24</v>
      </c>
      <c r="L6" s="39">
        <f t="shared" si="0"/>
        <v>1260</v>
      </c>
    </row>
    <row r="7" spans="1:12" ht="15.6" x14ac:dyDescent="0.3">
      <c r="A7" s="3">
        <v>1006</v>
      </c>
      <c r="B7" s="4" t="s">
        <v>27</v>
      </c>
      <c r="C7" s="4" t="s">
        <v>25</v>
      </c>
      <c r="D7" s="4" t="s">
        <v>18</v>
      </c>
      <c r="E7" s="4" t="s">
        <v>28</v>
      </c>
      <c r="F7" s="4">
        <v>3</v>
      </c>
      <c r="G7" s="4">
        <v>2714</v>
      </c>
      <c r="H7" s="4">
        <v>5</v>
      </c>
      <c r="I7" s="5">
        <v>46055</v>
      </c>
      <c r="J7" s="5">
        <v>46062</v>
      </c>
      <c r="K7" s="24" t="s">
        <v>29</v>
      </c>
      <c r="L7" s="39">
        <f t="shared" si="0"/>
        <v>8142</v>
      </c>
    </row>
    <row r="8" spans="1:12" ht="15.6" x14ac:dyDescent="0.3">
      <c r="A8" s="3">
        <v>1007</v>
      </c>
      <c r="B8" s="4" t="s">
        <v>21</v>
      </c>
      <c r="C8" s="4" t="s">
        <v>22</v>
      </c>
      <c r="D8" s="4" t="s">
        <v>13</v>
      </c>
      <c r="E8" s="4" t="s">
        <v>14</v>
      </c>
      <c r="F8" s="4">
        <v>19</v>
      </c>
      <c r="G8" s="4">
        <v>149</v>
      </c>
      <c r="H8" s="4">
        <v>7</v>
      </c>
      <c r="I8" s="5">
        <v>46162</v>
      </c>
      <c r="J8" s="5">
        <v>46168</v>
      </c>
      <c r="K8" s="24" t="s">
        <v>24</v>
      </c>
      <c r="L8" s="39">
        <f t="shared" si="0"/>
        <v>2831</v>
      </c>
    </row>
    <row r="9" spans="1:12" ht="15.6" x14ac:dyDescent="0.3">
      <c r="A9" s="3">
        <v>1008</v>
      </c>
      <c r="B9" s="4" t="s">
        <v>30</v>
      </c>
      <c r="C9" s="4" t="s">
        <v>31</v>
      </c>
      <c r="D9" s="4" t="s">
        <v>18</v>
      </c>
      <c r="E9" s="4" t="s">
        <v>28</v>
      </c>
      <c r="F9" s="4">
        <v>1</v>
      </c>
      <c r="G9" s="4">
        <v>1134</v>
      </c>
      <c r="H9" s="4">
        <v>0</v>
      </c>
      <c r="I9" s="5">
        <v>46033</v>
      </c>
      <c r="J9" s="5">
        <v>46041</v>
      </c>
      <c r="K9" s="24" t="s">
        <v>24</v>
      </c>
      <c r="L9" s="39">
        <f t="shared" si="0"/>
        <v>1134</v>
      </c>
    </row>
    <row r="10" spans="1:12" ht="15.6" x14ac:dyDescent="0.3">
      <c r="A10" s="3">
        <v>1009</v>
      </c>
      <c r="B10" s="4" t="s">
        <v>32</v>
      </c>
      <c r="C10" s="4" t="s">
        <v>33</v>
      </c>
      <c r="D10" s="4" t="s">
        <v>34</v>
      </c>
      <c r="E10" s="4" t="s">
        <v>35</v>
      </c>
      <c r="F10" s="4">
        <v>10</v>
      </c>
      <c r="G10" s="4">
        <v>40671</v>
      </c>
      <c r="H10" s="4">
        <v>12</v>
      </c>
      <c r="I10" s="5">
        <v>46183</v>
      </c>
      <c r="J10" s="5">
        <v>46193</v>
      </c>
      <c r="K10" s="24" t="s">
        <v>24</v>
      </c>
      <c r="L10" s="39">
        <f t="shared" si="0"/>
        <v>406710</v>
      </c>
    </row>
    <row r="11" spans="1:12" ht="15.6" x14ac:dyDescent="0.3">
      <c r="A11" s="3">
        <v>1010</v>
      </c>
      <c r="B11" s="4" t="s">
        <v>11</v>
      </c>
      <c r="C11" s="4" t="s">
        <v>17</v>
      </c>
      <c r="D11" s="4" t="s">
        <v>13</v>
      </c>
      <c r="E11" s="4" t="s">
        <v>36</v>
      </c>
      <c r="F11" s="4">
        <v>14</v>
      </c>
      <c r="G11" s="4">
        <v>470</v>
      </c>
      <c r="H11" s="4">
        <v>5</v>
      </c>
      <c r="I11" s="5">
        <v>46062</v>
      </c>
      <c r="J11" s="5">
        <v>46068</v>
      </c>
      <c r="K11" s="24" t="s">
        <v>15</v>
      </c>
      <c r="L11" s="39">
        <f t="shared" si="0"/>
        <v>6580</v>
      </c>
    </row>
    <row r="12" spans="1:12" ht="15.6" x14ac:dyDescent="0.3">
      <c r="A12" s="3">
        <v>1011</v>
      </c>
      <c r="B12" s="4" t="s">
        <v>11</v>
      </c>
      <c r="C12" s="4" t="s">
        <v>17</v>
      </c>
      <c r="D12" s="4" t="s">
        <v>13</v>
      </c>
      <c r="E12" s="4" t="s">
        <v>37</v>
      </c>
      <c r="F12" s="4">
        <v>14</v>
      </c>
      <c r="G12" s="4">
        <v>88</v>
      </c>
      <c r="H12" s="4">
        <v>12</v>
      </c>
      <c r="I12" s="5">
        <v>46161</v>
      </c>
      <c r="J12" s="5">
        <v>46163</v>
      </c>
      <c r="K12" s="24" t="s">
        <v>15</v>
      </c>
      <c r="L12" s="39">
        <f t="shared" si="0"/>
        <v>1232</v>
      </c>
    </row>
    <row r="13" spans="1:12" ht="15.6" x14ac:dyDescent="0.3">
      <c r="A13" s="3">
        <v>1012</v>
      </c>
      <c r="B13" s="4" t="s">
        <v>26</v>
      </c>
      <c r="C13" s="4" t="s">
        <v>38</v>
      </c>
      <c r="D13" s="4" t="s">
        <v>34</v>
      </c>
      <c r="E13" s="4" t="s">
        <v>39</v>
      </c>
      <c r="F13" s="4">
        <v>3</v>
      </c>
      <c r="G13" s="4">
        <v>64615</v>
      </c>
      <c r="H13" s="4">
        <v>10</v>
      </c>
      <c r="I13" s="5">
        <v>46086</v>
      </c>
      <c r="J13" s="5">
        <v>46095</v>
      </c>
      <c r="K13" s="24" t="s">
        <v>29</v>
      </c>
      <c r="L13" s="39">
        <f t="shared" si="0"/>
        <v>193845</v>
      </c>
    </row>
    <row r="14" spans="1:12" ht="15.6" x14ac:dyDescent="0.3">
      <c r="A14" s="3">
        <v>1013</v>
      </c>
      <c r="B14" s="4" t="s">
        <v>16</v>
      </c>
      <c r="C14" s="4" t="s">
        <v>31</v>
      </c>
      <c r="D14" s="4" t="s">
        <v>13</v>
      </c>
      <c r="E14" s="4" t="s">
        <v>36</v>
      </c>
      <c r="F14" s="4">
        <v>17</v>
      </c>
      <c r="G14" s="4">
        <v>459</v>
      </c>
      <c r="H14" s="4">
        <v>12</v>
      </c>
      <c r="I14" s="5">
        <v>46095</v>
      </c>
      <c r="J14" s="5">
        <v>46105</v>
      </c>
      <c r="K14" s="24" t="s">
        <v>29</v>
      </c>
      <c r="L14" s="39">
        <f t="shared" si="0"/>
        <v>7803</v>
      </c>
    </row>
    <row r="15" spans="1:12" ht="15.6" x14ac:dyDescent="0.3">
      <c r="A15" s="3">
        <v>1014</v>
      </c>
      <c r="B15" s="4" t="s">
        <v>40</v>
      </c>
      <c r="C15" s="4" t="s">
        <v>17</v>
      </c>
      <c r="D15" s="4" t="s">
        <v>34</v>
      </c>
      <c r="E15" s="4" t="s">
        <v>41</v>
      </c>
      <c r="F15" s="4">
        <v>19</v>
      </c>
      <c r="G15" s="4">
        <v>53683</v>
      </c>
      <c r="H15" s="4">
        <v>12</v>
      </c>
      <c r="I15" s="5">
        <v>46129</v>
      </c>
      <c r="J15" s="5">
        <v>46134</v>
      </c>
      <c r="K15" s="24" t="s">
        <v>29</v>
      </c>
      <c r="L15" s="39">
        <f t="shared" si="0"/>
        <v>1019977</v>
      </c>
    </row>
    <row r="16" spans="1:12" ht="15.6" x14ac:dyDescent="0.3">
      <c r="A16" s="3">
        <v>1015</v>
      </c>
      <c r="B16" s="4" t="s">
        <v>42</v>
      </c>
      <c r="C16" s="4" t="s">
        <v>43</v>
      </c>
      <c r="D16" s="4" t="s">
        <v>18</v>
      </c>
      <c r="E16" s="4" t="s">
        <v>44</v>
      </c>
      <c r="F16" s="4">
        <v>11</v>
      </c>
      <c r="G16" s="4">
        <v>14511</v>
      </c>
      <c r="H16" s="4">
        <v>2</v>
      </c>
      <c r="I16" s="5">
        <v>46175</v>
      </c>
      <c r="J16" s="5">
        <v>46185</v>
      </c>
      <c r="K16" s="24" t="s">
        <v>20</v>
      </c>
      <c r="L16" s="39">
        <f t="shared" si="0"/>
        <v>159621</v>
      </c>
    </row>
    <row r="17" spans="1:12" ht="15.6" x14ac:dyDescent="0.3">
      <c r="A17" s="3">
        <v>1016</v>
      </c>
      <c r="B17" s="4" t="s">
        <v>32</v>
      </c>
      <c r="C17" s="4" t="s">
        <v>33</v>
      </c>
      <c r="D17" s="4" t="s">
        <v>34</v>
      </c>
      <c r="E17" s="4" t="s">
        <v>45</v>
      </c>
      <c r="F17" s="4">
        <v>16</v>
      </c>
      <c r="G17" s="4">
        <v>30234</v>
      </c>
      <c r="H17" s="4">
        <v>15</v>
      </c>
      <c r="I17" s="5">
        <v>46137</v>
      </c>
      <c r="J17" s="5">
        <v>46140</v>
      </c>
      <c r="K17" s="24" t="s">
        <v>24</v>
      </c>
      <c r="L17" s="39">
        <f t="shared" si="0"/>
        <v>483744</v>
      </c>
    </row>
    <row r="18" spans="1:12" ht="15.6" x14ac:dyDescent="0.3">
      <c r="A18" s="3">
        <v>1017</v>
      </c>
      <c r="B18" s="4" t="s">
        <v>46</v>
      </c>
      <c r="C18" s="4" t="s">
        <v>38</v>
      </c>
      <c r="D18" s="4" t="s">
        <v>13</v>
      </c>
      <c r="E18" s="4" t="s">
        <v>36</v>
      </c>
      <c r="F18" s="4">
        <v>8</v>
      </c>
      <c r="G18" s="4">
        <v>179</v>
      </c>
      <c r="H18" s="4">
        <v>15</v>
      </c>
      <c r="I18" s="5">
        <v>46082</v>
      </c>
      <c r="J18" s="5">
        <v>46084</v>
      </c>
      <c r="K18" s="24" t="s">
        <v>15</v>
      </c>
      <c r="L18" s="39">
        <f t="shared" si="0"/>
        <v>1432</v>
      </c>
    </row>
    <row r="19" spans="1:12" ht="15.6" x14ac:dyDescent="0.3">
      <c r="A19" s="3">
        <v>1018</v>
      </c>
      <c r="B19" s="4" t="s">
        <v>47</v>
      </c>
      <c r="C19" s="4" t="s">
        <v>25</v>
      </c>
      <c r="D19" s="4" t="s">
        <v>13</v>
      </c>
      <c r="E19" s="4" t="s">
        <v>14</v>
      </c>
      <c r="F19" s="4">
        <v>20</v>
      </c>
      <c r="G19" s="4">
        <v>301</v>
      </c>
      <c r="H19" s="4">
        <v>0</v>
      </c>
      <c r="I19" s="5">
        <v>46089</v>
      </c>
      <c r="J19" s="5">
        <v>46094</v>
      </c>
      <c r="K19" s="24" t="s">
        <v>29</v>
      </c>
      <c r="L19" s="39">
        <f t="shared" si="0"/>
        <v>6020</v>
      </c>
    </row>
    <row r="20" spans="1:12" ht="15.6" x14ac:dyDescent="0.3">
      <c r="A20" s="3">
        <v>1019</v>
      </c>
      <c r="B20" s="4" t="s">
        <v>11</v>
      </c>
      <c r="C20" s="4" t="s">
        <v>43</v>
      </c>
      <c r="D20" s="4" t="s">
        <v>34</v>
      </c>
      <c r="E20" s="4" t="s">
        <v>41</v>
      </c>
      <c r="F20" s="4">
        <v>18</v>
      </c>
      <c r="G20" s="4">
        <v>45652</v>
      </c>
      <c r="H20" s="4">
        <v>10</v>
      </c>
      <c r="I20" s="5">
        <v>46023</v>
      </c>
      <c r="J20" s="5">
        <v>46030</v>
      </c>
      <c r="K20" s="24" t="s">
        <v>20</v>
      </c>
      <c r="L20" s="39">
        <f t="shared" si="0"/>
        <v>821736</v>
      </c>
    </row>
    <row r="21" spans="1:12" ht="15.6" x14ac:dyDescent="0.3">
      <c r="A21" s="3">
        <v>1020</v>
      </c>
      <c r="B21" s="4" t="s">
        <v>46</v>
      </c>
      <c r="C21" s="4" t="s">
        <v>12</v>
      </c>
      <c r="D21" s="4" t="s">
        <v>18</v>
      </c>
      <c r="E21" s="4" t="s">
        <v>19</v>
      </c>
      <c r="F21" s="4">
        <v>5</v>
      </c>
      <c r="G21" s="4">
        <v>4582</v>
      </c>
      <c r="H21" s="4">
        <v>5</v>
      </c>
      <c r="I21" s="5">
        <v>46078</v>
      </c>
      <c r="J21" s="5">
        <v>46083</v>
      </c>
      <c r="K21" s="24" t="s">
        <v>15</v>
      </c>
      <c r="L21" s="39">
        <f t="shared" si="0"/>
        <v>22910</v>
      </c>
    </row>
    <row r="22" spans="1:12" ht="15.6" x14ac:dyDescent="0.3">
      <c r="A22" s="3">
        <v>1021</v>
      </c>
      <c r="B22" s="4" t="s">
        <v>48</v>
      </c>
      <c r="C22" s="4" t="s">
        <v>43</v>
      </c>
      <c r="D22" s="4" t="s">
        <v>13</v>
      </c>
      <c r="E22" s="4" t="s">
        <v>14</v>
      </c>
      <c r="F22" s="4">
        <v>3</v>
      </c>
      <c r="G22" s="4">
        <v>484</v>
      </c>
      <c r="H22" s="4">
        <v>2</v>
      </c>
      <c r="I22" s="5">
        <v>46144</v>
      </c>
      <c r="J22" s="5">
        <v>46148</v>
      </c>
      <c r="K22" s="24" t="s">
        <v>24</v>
      </c>
      <c r="L22" s="39">
        <f t="shared" si="0"/>
        <v>1452</v>
      </c>
    </row>
    <row r="23" spans="1:12" ht="15.6" x14ac:dyDescent="0.3">
      <c r="A23" s="3">
        <v>1022</v>
      </c>
      <c r="B23" s="4" t="s">
        <v>26</v>
      </c>
      <c r="C23" s="4" t="s">
        <v>17</v>
      </c>
      <c r="D23" s="4" t="s">
        <v>34</v>
      </c>
      <c r="E23" s="4" t="s">
        <v>45</v>
      </c>
      <c r="F23" s="4">
        <v>15</v>
      </c>
      <c r="G23" s="4">
        <v>11596</v>
      </c>
      <c r="H23" s="4">
        <v>0</v>
      </c>
      <c r="I23" s="5">
        <v>46117</v>
      </c>
      <c r="J23" s="5">
        <v>46121</v>
      </c>
      <c r="K23" s="24" t="s">
        <v>29</v>
      </c>
      <c r="L23" s="39">
        <f t="shared" si="0"/>
        <v>173940</v>
      </c>
    </row>
    <row r="24" spans="1:12" ht="15.6" x14ac:dyDescent="0.3">
      <c r="A24" s="3">
        <v>1023</v>
      </c>
      <c r="B24" s="4" t="s">
        <v>40</v>
      </c>
      <c r="C24" s="4" t="s">
        <v>12</v>
      </c>
      <c r="D24" s="4" t="s">
        <v>18</v>
      </c>
      <c r="E24" s="4" t="s">
        <v>44</v>
      </c>
      <c r="F24" s="4">
        <v>15</v>
      </c>
      <c r="G24" s="4">
        <v>3506</v>
      </c>
      <c r="H24" s="4">
        <v>2</v>
      </c>
      <c r="I24" s="5">
        <v>46193</v>
      </c>
      <c r="J24" s="5">
        <v>46194</v>
      </c>
      <c r="K24" s="24" t="s">
        <v>29</v>
      </c>
      <c r="L24" s="39">
        <f t="shared" si="0"/>
        <v>52590</v>
      </c>
    </row>
    <row r="25" spans="1:12" ht="15.6" x14ac:dyDescent="0.3">
      <c r="A25" s="3">
        <v>1024</v>
      </c>
      <c r="B25" s="4" t="s">
        <v>32</v>
      </c>
      <c r="C25" s="4" t="s">
        <v>38</v>
      </c>
      <c r="D25" s="4" t="s">
        <v>34</v>
      </c>
      <c r="E25" s="4" t="s">
        <v>41</v>
      </c>
      <c r="F25" s="4">
        <v>12</v>
      </c>
      <c r="G25" s="4">
        <v>1682</v>
      </c>
      <c r="H25" s="4">
        <v>5</v>
      </c>
      <c r="I25" s="5">
        <v>46161</v>
      </c>
      <c r="J25" s="5">
        <v>46165</v>
      </c>
      <c r="K25" s="24" t="s">
        <v>15</v>
      </c>
      <c r="L25" s="39">
        <f t="shared" si="0"/>
        <v>20184</v>
      </c>
    </row>
    <row r="26" spans="1:12" ht="15.6" x14ac:dyDescent="0.3">
      <c r="A26" s="3">
        <v>1025</v>
      </c>
      <c r="B26" s="4" t="s">
        <v>21</v>
      </c>
      <c r="C26" s="4" t="s">
        <v>12</v>
      </c>
      <c r="D26" s="4" t="s">
        <v>18</v>
      </c>
      <c r="E26" s="4" t="s">
        <v>19</v>
      </c>
      <c r="F26" s="4">
        <v>18</v>
      </c>
      <c r="G26" s="4">
        <v>7924</v>
      </c>
      <c r="H26" s="4">
        <v>0</v>
      </c>
      <c r="I26" s="5">
        <v>46175</v>
      </c>
      <c r="J26" s="5">
        <v>46181</v>
      </c>
      <c r="K26" s="24" t="s">
        <v>15</v>
      </c>
      <c r="L26" s="39">
        <f t="shared" si="0"/>
        <v>142632</v>
      </c>
    </row>
    <row r="27" spans="1:12" ht="15.6" x14ac:dyDescent="0.3">
      <c r="A27" s="3">
        <v>1026</v>
      </c>
      <c r="B27" s="4" t="s">
        <v>49</v>
      </c>
      <c r="C27" s="4" t="s">
        <v>31</v>
      </c>
      <c r="D27" s="4" t="s">
        <v>13</v>
      </c>
      <c r="E27" s="4" t="s">
        <v>50</v>
      </c>
      <c r="F27" s="4">
        <v>17</v>
      </c>
      <c r="G27" s="4">
        <v>323</v>
      </c>
      <c r="H27" s="4">
        <v>10</v>
      </c>
      <c r="I27" s="5">
        <v>46039</v>
      </c>
      <c r="J27" s="5">
        <v>46040</v>
      </c>
      <c r="K27" s="24" t="s">
        <v>29</v>
      </c>
      <c r="L27" s="39">
        <f t="shared" si="0"/>
        <v>5491</v>
      </c>
    </row>
    <row r="28" spans="1:12" ht="15.6" x14ac:dyDescent="0.3">
      <c r="A28" s="3">
        <v>1027</v>
      </c>
      <c r="B28" s="4" t="s">
        <v>29</v>
      </c>
      <c r="C28" s="4" t="s">
        <v>43</v>
      </c>
      <c r="D28" s="4" t="s">
        <v>13</v>
      </c>
      <c r="E28" s="4" t="s">
        <v>50</v>
      </c>
      <c r="F28" s="4">
        <v>4</v>
      </c>
      <c r="G28" s="4">
        <v>264</v>
      </c>
      <c r="H28" s="4">
        <v>0</v>
      </c>
      <c r="I28" s="5">
        <v>46155</v>
      </c>
      <c r="J28" s="5">
        <v>46161</v>
      </c>
      <c r="K28" s="24" t="s">
        <v>51</v>
      </c>
      <c r="L28" s="39">
        <f t="shared" si="0"/>
        <v>1056</v>
      </c>
    </row>
    <row r="29" spans="1:12" ht="15.6" x14ac:dyDescent="0.3">
      <c r="A29" s="3">
        <v>1028</v>
      </c>
      <c r="B29" s="4" t="s">
        <v>47</v>
      </c>
      <c r="C29" s="4" t="s">
        <v>22</v>
      </c>
      <c r="D29" s="4" t="s">
        <v>13</v>
      </c>
      <c r="E29" s="4" t="s">
        <v>36</v>
      </c>
      <c r="F29" s="4">
        <v>13</v>
      </c>
      <c r="G29" s="4">
        <v>433</v>
      </c>
      <c r="H29" s="4">
        <v>2</v>
      </c>
      <c r="I29" s="5">
        <v>46116</v>
      </c>
      <c r="J29" s="5">
        <v>46121</v>
      </c>
      <c r="K29" s="24" t="s">
        <v>24</v>
      </c>
      <c r="L29" s="39">
        <f t="shared" si="0"/>
        <v>5629</v>
      </c>
    </row>
    <row r="30" spans="1:12" ht="15.6" x14ac:dyDescent="0.3">
      <c r="A30" s="3">
        <v>1029</v>
      </c>
      <c r="B30" s="4" t="s">
        <v>30</v>
      </c>
      <c r="C30" s="4" t="s">
        <v>25</v>
      </c>
      <c r="D30" s="4" t="s">
        <v>13</v>
      </c>
      <c r="E30" s="4" t="s">
        <v>36</v>
      </c>
      <c r="F30" s="4">
        <v>18</v>
      </c>
      <c r="G30" s="4">
        <v>443</v>
      </c>
      <c r="H30" s="4">
        <v>5</v>
      </c>
      <c r="I30" s="5">
        <v>46046</v>
      </c>
      <c r="J30" s="5">
        <v>46054</v>
      </c>
      <c r="K30" s="24" t="s">
        <v>24</v>
      </c>
      <c r="L30" s="39">
        <f t="shared" si="0"/>
        <v>7974</v>
      </c>
    </row>
    <row r="31" spans="1:12" ht="15.6" x14ac:dyDescent="0.3">
      <c r="A31" s="3">
        <v>1030</v>
      </c>
      <c r="B31" s="4" t="s">
        <v>52</v>
      </c>
      <c r="C31" s="4" t="s">
        <v>12</v>
      </c>
      <c r="D31" s="4" t="s">
        <v>13</v>
      </c>
      <c r="E31" s="4" t="s">
        <v>53</v>
      </c>
      <c r="F31" s="4">
        <v>13</v>
      </c>
      <c r="G31" s="4">
        <v>336</v>
      </c>
      <c r="H31" s="4">
        <v>10</v>
      </c>
      <c r="I31" s="5">
        <v>46098</v>
      </c>
      <c r="J31" s="5">
        <v>46108</v>
      </c>
      <c r="K31" s="24" t="s">
        <v>15</v>
      </c>
      <c r="L31" s="39">
        <f t="shared" si="0"/>
        <v>4368</v>
      </c>
    </row>
    <row r="32" spans="1:12" ht="15.6" x14ac:dyDescent="0.3">
      <c r="A32" s="3">
        <v>1031</v>
      </c>
      <c r="B32" s="4" t="s">
        <v>54</v>
      </c>
      <c r="C32" s="4" t="s">
        <v>31</v>
      </c>
      <c r="D32" s="4" t="s">
        <v>13</v>
      </c>
      <c r="E32" s="4" t="s">
        <v>53</v>
      </c>
      <c r="F32" s="4">
        <v>2</v>
      </c>
      <c r="G32" s="4">
        <v>184</v>
      </c>
      <c r="H32" s="4">
        <v>5</v>
      </c>
      <c r="I32" s="5">
        <v>46089</v>
      </c>
      <c r="J32" s="5">
        <v>46093</v>
      </c>
      <c r="K32" s="24" t="s">
        <v>20</v>
      </c>
      <c r="L32" s="39">
        <f t="shared" si="0"/>
        <v>368</v>
      </c>
    </row>
    <row r="33" spans="1:12" ht="15.6" x14ac:dyDescent="0.3">
      <c r="A33" s="3">
        <v>1032</v>
      </c>
      <c r="B33" s="4" t="s">
        <v>54</v>
      </c>
      <c r="C33" s="4" t="s">
        <v>43</v>
      </c>
      <c r="D33" s="4" t="s">
        <v>34</v>
      </c>
      <c r="E33" s="4" t="s">
        <v>39</v>
      </c>
      <c r="F33" s="4">
        <v>20</v>
      </c>
      <c r="G33" s="4">
        <v>11305</v>
      </c>
      <c r="H33" s="4">
        <v>2</v>
      </c>
      <c r="I33" s="5">
        <v>46163</v>
      </c>
      <c r="J33" s="5">
        <v>46165</v>
      </c>
      <c r="K33" s="24" t="s">
        <v>29</v>
      </c>
      <c r="L33" s="39">
        <f t="shared" si="0"/>
        <v>226100</v>
      </c>
    </row>
    <row r="34" spans="1:12" ht="15.6" x14ac:dyDescent="0.3">
      <c r="A34" s="3">
        <v>1033</v>
      </c>
      <c r="B34" s="4" t="s">
        <v>11</v>
      </c>
      <c r="C34" s="4" t="s">
        <v>43</v>
      </c>
      <c r="D34" s="4" t="s">
        <v>18</v>
      </c>
      <c r="E34" s="4" t="s">
        <v>19</v>
      </c>
      <c r="F34" s="4">
        <v>9</v>
      </c>
      <c r="G34" s="4">
        <v>4895</v>
      </c>
      <c r="H34" s="4">
        <v>2</v>
      </c>
      <c r="I34" s="5">
        <v>46082</v>
      </c>
      <c r="J34" s="5">
        <v>46084</v>
      </c>
      <c r="K34" s="24" t="s">
        <v>29</v>
      </c>
      <c r="L34" s="39">
        <f t="shared" si="0"/>
        <v>44055</v>
      </c>
    </row>
    <row r="35" spans="1:12" ht="15.6" x14ac:dyDescent="0.3">
      <c r="A35" s="3">
        <v>1034</v>
      </c>
      <c r="B35" s="4" t="s">
        <v>55</v>
      </c>
      <c r="C35" s="4" t="s">
        <v>33</v>
      </c>
      <c r="D35" s="4" t="s">
        <v>18</v>
      </c>
      <c r="E35" s="4" t="s">
        <v>28</v>
      </c>
      <c r="F35" s="4">
        <v>17</v>
      </c>
      <c r="G35" s="4">
        <v>5104</v>
      </c>
      <c r="H35" s="4">
        <v>12</v>
      </c>
      <c r="I35" s="5">
        <v>46052</v>
      </c>
      <c r="J35" s="5">
        <v>46061</v>
      </c>
      <c r="K35" s="24" t="s">
        <v>51</v>
      </c>
      <c r="L35" s="39">
        <f t="shared" si="0"/>
        <v>86768</v>
      </c>
    </row>
    <row r="36" spans="1:12" ht="15.6" x14ac:dyDescent="0.3">
      <c r="A36" s="3">
        <v>1035</v>
      </c>
      <c r="B36" s="4" t="s">
        <v>49</v>
      </c>
      <c r="C36" s="4" t="s">
        <v>43</v>
      </c>
      <c r="D36" s="4" t="s">
        <v>18</v>
      </c>
      <c r="E36" s="4" t="s">
        <v>56</v>
      </c>
      <c r="F36" s="4">
        <v>3</v>
      </c>
      <c r="G36" s="4">
        <v>9149</v>
      </c>
      <c r="H36" s="4">
        <v>0</v>
      </c>
      <c r="I36" s="5">
        <v>46031</v>
      </c>
      <c r="J36" s="5">
        <v>46034</v>
      </c>
      <c r="K36" s="24" t="s">
        <v>24</v>
      </c>
      <c r="L36" s="39">
        <f t="shared" si="0"/>
        <v>27447</v>
      </c>
    </row>
    <row r="37" spans="1:12" ht="15.6" x14ac:dyDescent="0.3">
      <c r="A37" s="3">
        <v>1036</v>
      </c>
      <c r="B37" s="4" t="s">
        <v>11</v>
      </c>
      <c r="C37" s="4" t="s">
        <v>25</v>
      </c>
      <c r="D37" s="4" t="s">
        <v>13</v>
      </c>
      <c r="E37" s="4" t="s">
        <v>36</v>
      </c>
      <c r="F37" s="4">
        <v>20</v>
      </c>
      <c r="G37" s="4">
        <v>161</v>
      </c>
      <c r="H37" s="4">
        <v>7</v>
      </c>
      <c r="I37" s="5">
        <v>46071</v>
      </c>
      <c r="J37" s="5">
        <v>46077</v>
      </c>
      <c r="K37" s="24" t="s">
        <v>24</v>
      </c>
      <c r="L37" s="39">
        <f t="shared" si="0"/>
        <v>3220</v>
      </c>
    </row>
    <row r="38" spans="1:12" ht="15.6" x14ac:dyDescent="0.3">
      <c r="A38" s="3">
        <v>1037</v>
      </c>
      <c r="B38" s="4" t="s">
        <v>46</v>
      </c>
      <c r="C38" s="4" t="s">
        <v>43</v>
      </c>
      <c r="D38" s="4" t="s">
        <v>18</v>
      </c>
      <c r="E38" s="4" t="s">
        <v>56</v>
      </c>
      <c r="F38" s="4">
        <v>6</v>
      </c>
      <c r="G38" s="4">
        <v>14385</v>
      </c>
      <c r="H38" s="4">
        <v>12</v>
      </c>
      <c r="I38" s="5">
        <v>46033</v>
      </c>
      <c r="J38" s="5">
        <v>46043</v>
      </c>
      <c r="K38" s="24" t="s">
        <v>24</v>
      </c>
      <c r="L38" s="39">
        <f t="shared" si="0"/>
        <v>86310</v>
      </c>
    </row>
    <row r="39" spans="1:12" ht="15.6" x14ac:dyDescent="0.3">
      <c r="A39" s="3">
        <v>1038</v>
      </c>
      <c r="B39" s="4" t="s">
        <v>55</v>
      </c>
      <c r="C39" s="4" t="s">
        <v>17</v>
      </c>
      <c r="D39" s="4" t="s">
        <v>13</v>
      </c>
      <c r="E39" s="4" t="s">
        <v>36</v>
      </c>
      <c r="F39" s="4">
        <v>17</v>
      </c>
      <c r="G39" s="4">
        <v>223</v>
      </c>
      <c r="H39" s="4">
        <v>7</v>
      </c>
      <c r="I39" s="5">
        <v>46030</v>
      </c>
      <c r="J39" s="5">
        <v>46031</v>
      </c>
      <c r="K39" s="24" t="s">
        <v>51</v>
      </c>
      <c r="L39" s="39">
        <f t="shared" si="0"/>
        <v>3791</v>
      </c>
    </row>
    <row r="40" spans="1:12" ht="15.6" x14ac:dyDescent="0.3">
      <c r="A40" s="3">
        <v>1039</v>
      </c>
      <c r="B40" s="4" t="s">
        <v>48</v>
      </c>
      <c r="C40" s="4" t="s">
        <v>38</v>
      </c>
      <c r="D40" s="4" t="s">
        <v>34</v>
      </c>
      <c r="E40" s="4" t="s">
        <v>45</v>
      </c>
      <c r="F40" s="4">
        <v>5</v>
      </c>
      <c r="G40" s="4">
        <v>60236</v>
      </c>
      <c r="H40" s="4">
        <v>10</v>
      </c>
      <c r="I40" s="5">
        <v>46107</v>
      </c>
      <c r="J40" s="5">
        <v>46110</v>
      </c>
      <c r="K40" s="24" t="s">
        <v>20</v>
      </c>
      <c r="L40" s="39">
        <f t="shared" si="0"/>
        <v>301180</v>
      </c>
    </row>
    <row r="41" spans="1:12" ht="15.6" x14ac:dyDescent="0.3">
      <c r="A41" s="3">
        <v>1040</v>
      </c>
      <c r="B41" s="4" t="s">
        <v>49</v>
      </c>
      <c r="C41" s="4" t="s">
        <v>38</v>
      </c>
      <c r="D41" s="4" t="s">
        <v>18</v>
      </c>
      <c r="E41" s="4" t="s">
        <v>28</v>
      </c>
      <c r="F41" s="4">
        <v>10</v>
      </c>
      <c r="G41" s="4">
        <v>7531</v>
      </c>
      <c r="H41" s="4">
        <v>2</v>
      </c>
      <c r="I41" s="5">
        <v>46171</v>
      </c>
      <c r="J41" s="5">
        <v>46178</v>
      </c>
      <c r="K41" s="24" t="s">
        <v>24</v>
      </c>
      <c r="L41" s="39">
        <f t="shared" si="0"/>
        <v>75310</v>
      </c>
    </row>
    <row r="42" spans="1:12" ht="15.6" x14ac:dyDescent="0.3">
      <c r="A42" s="3">
        <v>1041</v>
      </c>
      <c r="B42" s="4" t="s">
        <v>54</v>
      </c>
      <c r="C42" s="4" t="s">
        <v>38</v>
      </c>
      <c r="D42" s="4" t="s">
        <v>13</v>
      </c>
      <c r="E42" s="4" t="s">
        <v>50</v>
      </c>
      <c r="F42" s="4">
        <v>9</v>
      </c>
      <c r="G42" s="4">
        <v>71</v>
      </c>
      <c r="H42" s="4">
        <v>7</v>
      </c>
      <c r="I42" s="5">
        <v>46185</v>
      </c>
      <c r="J42" s="5">
        <v>46188</v>
      </c>
      <c r="K42" s="24" t="s">
        <v>15</v>
      </c>
      <c r="L42" s="39">
        <f t="shared" si="0"/>
        <v>639</v>
      </c>
    </row>
    <row r="43" spans="1:12" ht="15.6" x14ac:dyDescent="0.3">
      <c r="A43" s="3">
        <v>1042</v>
      </c>
      <c r="B43" s="4" t="s">
        <v>46</v>
      </c>
      <c r="C43" s="4" t="s">
        <v>33</v>
      </c>
      <c r="D43" s="4" t="s">
        <v>13</v>
      </c>
      <c r="E43" s="4" t="s">
        <v>53</v>
      </c>
      <c r="F43" s="4">
        <v>16</v>
      </c>
      <c r="G43" s="4">
        <v>232</v>
      </c>
      <c r="H43" s="4">
        <v>0</v>
      </c>
      <c r="I43" s="5">
        <v>46081</v>
      </c>
      <c r="J43" s="5">
        <v>46088</v>
      </c>
      <c r="K43" s="24" t="s">
        <v>29</v>
      </c>
      <c r="L43" s="39">
        <f t="shared" si="0"/>
        <v>3712</v>
      </c>
    </row>
    <row r="44" spans="1:12" ht="15.6" x14ac:dyDescent="0.3">
      <c r="A44" s="3">
        <v>1043</v>
      </c>
      <c r="B44" s="4" t="s">
        <v>49</v>
      </c>
      <c r="C44" s="4" t="s">
        <v>38</v>
      </c>
      <c r="D44" s="4" t="s">
        <v>34</v>
      </c>
      <c r="E44" s="4" t="s">
        <v>35</v>
      </c>
      <c r="F44" s="4">
        <v>20</v>
      </c>
      <c r="G44" s="4">
        <v>46093</v>
      </c>
      <c r="H44" s="4">
        <v>5</v>
      </c>
      <c r="I44" s="5">
        <v>46091</v>
      </c>
      <c r="J44" s="5">
        <v>46098</v>
      </c>
      <c r="K44" s="24" t="s">
        <v>29</v>
      </c>
      <c r="L44" s="39">
        <f t="shared" si="0"/>
        <v>921860</v>
      </c>
    </row>
    <row r="45" spans="1:12" ht="15.6" x14ac:dyDescent="0.3">
      <c r="A45" s="3">
        <v>1044</v>
      </c>
      <c r="B45" s="4" t="s">
        <v>48</v>
      </c>
      <c r="C45" s="4" t="s">
        <v>38</v>
      </c>
      <c r="D45" s="4" t="s">
        <v>18</v>
      </c>
      <c r="E45" s="4" t="s">
        <v>19</v>
      </c>
      <c r="F45" s="4">
        <v>4</v>
      </c>
      <c r="G45" s="4">
        <v>14731</v>
      </c>
      <c r="H45" s="4">
        <v>2</v>
      </c>
      <c r="I45" s="5">
        <v>46173</v>
      </c>
      <c r="J45" s="5">
        <v>46176</v>
      </c>
      <c r="K45" s="24" t="s">
        <v>20</v>
      </c>
      <c r="L45" s="39">
        <f t="shared" si="0"/>
        <v>58924</v>
      </c>
    </row>
    <row r="46" spans="1:12" ht="15.6" x14ac:dyDescent="0.3">
      <c r="A46" s="3">
        <v>1045</v>
      </c>
      <c r="B46" s="4" t="s">
        <v>32</v>
      </c>
      <c r="C46" s="4" t="s">
        <v>38</v>
      </c>
      <c r="D46" s="4" t="s">
        <v>34</v>
      </c>
      <c r="E46" s="4" t="s">
        <v>35</v>
      </c>
      <c r="F46" s="4">
        <v>3</v>
      </c>
      <c r="G46" s="4">
        <v>62762</v>
      </c>
      <c r="H46" s="4">
        <v>7</v>
      </c>
      <c r="I46" s="5">
        <v>46038</v>
      </c>
      <c r="J46" s="5">
        <v>46039</v>
      </c>
      <c r="K46" s="24" t="s">
        <v>29</v>
      </c>
      <c r="L46" s="39">
        <f t="shared" si="0"/>
        <v>188286</v>
      </c>
    </row>
    <row r="47" spans="1:12" ht="15.6" x14ac:dyDescent="0.3">
      <c r="A47" s="3">
        <v>1046</v>
      </c>
      <c r="B47" s="4" t="s">
        <v>57</v>
      </c>
      <c r="C47" s="4" t="s">
        <v>38</v>
      </c>
      <c r="D47" s="4" t="s">
        <v>34</v>
      </c>
      <c r="E47" s="4" t="s">
        <v>45</v>
      </c>
      <c r="F47" s="4">
        <v>3</v>
      </c>
      <c r="G47" s="4">
        <v>19443</v>
      </c>
      <c r="H47" s="4">
        <v>10</v>
      </c>
      <c r="I47" s="5">
        <v>46153</v>
      </c>
      <c r="J47" s="5">
        <v>46158</v>
      </c>
      <c r="K47" s="24" t="s">
        <v>29</v>
      </c>
      <c r="L47" s="39">
        <f t="shared" si="0"/>
        <v>58329</v>
      </c>
    </row>
    <row r="48" spans="1:12" ht="15.6" x14ac:dyDescent="0.3">
      <c r="A48" s="3">
        <v>1047</v>
      </c>
      <c r="B48" s="4" t="s">
        <v>58</v>
      </c>
      <c r="C48" s="4" t="s">
        <v>38</v>
      </c>
      <c r="D48" s="4" t="s">
        <v>18</v>
      </c>
      <c r="E48" s="4" t="s">
        <v>56</v>
      </c>
      <c r="F48" s="4">
        <v>11</v>
      </c>
      <c r="G48" s="4">
        <v>9976</v>
      </c>
      <c r="H48" s="4">
        <v>12</v>
      </c>
      <c r="I48" s="5">
        <v>46200</v>
      </c>
      <c r="J48" s="5">
        <v>46209</v>
      </c>
      <c r="K48" s="24" t="s">
        <v>15</v>
      </c>
      <c r="L48" s="39">
        <f t="shared" si="0"/>
        <v>109736</v>
      </c>
    </row>
    <row r="49" spans="1:12" ht="15.6" x14ac:dyDescent="0.3">
      <c r="A49" s="3">
        <v>1048</v>
      </c>
      <c r="B49" s="4" t="s">
        <v>59</v>
      </c>
      <c r="C49" s="4" t="s">
        <v>25</v>
      </c>
      <c r="D49" s="4" t="s">
        <v>34</v>
      </c>
      <c r="E49" s="4" t="s">
        <v>60</v>
      </c>
      <c r="F49" s="4">
        <v>14</v>
      </c>
      <c r="G49" s="4">
        <v>11762</v>
      </c>
      <c r="H49" s="4">
        <v>7</v>
      </c>
      <c r="I49" s="5">
        <v>46180</v>
      </c>
      <c r="J49" s="5">
        <v>46186</v>
      </c>
      <c r="K49" s="24" t="s">
        <v>24</v>
      </c>
      <c r="L49" s="39">
        <f t="shared" si="0"/>
        <v>164668</v>
      </c>
    </row>
    <row r="50" spans="1:12" ht="15.6" x14ac:dyDescent="0.3">
      <c r="A50" s="3">
        <v>1049</v>
      </c>
      <c r="B50" s="4" t="s">
        <v>52</v>
      </c>
      <c r="C50" s="4" t="s">
        <v>25</v>
      </c>
      <c r="D50" s="4" t="s">
        <v>34</v>
      </c>
      <c r="E50" s="4" t="s">
        <v>45</v>
      </c>
      <c r="F50" s="4">
        <v>2</v>
      </c>
      <c r="G50" s="4">
        <v>40789</v>
      </c>
      <c r="H50" s="4">
        <v>0</v>
      </c>
      <c r="I50" s="5">
        <v>46102</v>
      </c>
      <c r="J50" s="5">
        <v>46108</v>
      </c>
      <c r="K50" s="24" t="s">
        <v>24</v>
      </c>
      <c r="L50" s="39">
        <f t="shared" si="0"/>
        <v>81578</v>
      </c>
    </row>
    <row r="51" spans="1:12" ht="15.6" x14ac:dyDescent="0.3">
      <c r="A51" s="3">
        <v>1050</v>
      </c>
      <c r="B51" s="4" t="s">
        <v>32</v>
      </c>
      <c r="C51" s="4" t="s">
        <v>25</v>
      </c>
      <c r="D51" s="4" t="s">
        <v>13</v>
      </c>
      <c r="E51" s="4" t="s">
        <v>53</v>
      </c>
      <c r="F51" s="4">
        <v>12</v>
      </c>
      <c r="G51" s="4">
        <v>360</v>
      </c>
      <c r="H51" s="4">
        <v>5</v>
      </c>
      <c r="I51" s="5">
        <v>46127</v>
      </c>
      <c r="J51" s="5">
        <v>46137</v>
      </c>
      <c r="K51" s="24" t="s">
        <v>29</v>
      </c>
      <c r="L51" s="39">
        <f t="shared" si="0"/>
        <v>4320</v>
      </c>
    </row>
    <row r="52" spans="1:12" ht="15.6" x14ac:dyDescent="0.3">
      <c r="A52" s="3">
        <v>1051</v>
      </c>
      <c r="B52" s="4" t="s">
        <v>58</v>
      </c>
      <c r="C52" s="4" t="s">
        <v>17</v>
      </c>
      <c r="D52" s="4" t="s">
        <v>13</v>
      </c>
      <c r="E52" s="4" t="s">
        <v>36</v>
      </c>
      <c r="F52" s="4">
        <v>12</v>
      </c>
      <c r="G52" s="4">
        <v>47</v>
      </c>
      <c r="H52" s="4">
        <v>2</v>
      </c>
      <c r="I52" s="5">
        <v>46037</v>
      </c>
      <c r="J52" s="5">
        <v>46045</v>
      </c>
      <c r="K52" s="24" t="s">
        <v>15</v>
      </c>
      <c r="L52" s="39">
        <f t="shared" si="0"/>
        <v>564</v>
      </c>
    </row>
    <row r="53" spans="1:12" ht="15.6" x14ac:dyDescent="0.3">
      <c r="A53" s="3">
        <v>1052</v>
      </c>
      <c r="B53" s="4" t="s">
        <v>55</v>
      </c>
      <c r="C53" s="4" t="s">
        <v>12</v>
      </c>
      <c r="D53" s="4" t="s">
        <v>13</v>
      </c>
      <c r="E53" s="4" t="s">
        <v>14</v>
      </c>
      <c r="F53" s="4">
        <v>17</v>
      </c>
      <c r="G53" s="4">
        <v>172</v>
      </c>
      <c r="H53" s="4">
        <v>10</v>
      </c>
      <c r="I53" s="5">
        <v>46159</v>
      </c>
      <c r="J53" s="5">
        <v>46165</v>
      </c>
      <c r="K53" s="24" t="s">
        <v>20</v>
      </c>
      <c r="L53" s="39">
        <f t="shared" si="0"/>
        <v>2924</v>
      </c>
    </row>
    <row r="54" spans="1:12" ht="15.6" x14ac:dyDescent="0.3">
      <c r="A54" s="3">
        <v>1053</v>
      </c>
      <c r="B54" s="4" t="s">
        <v>16</v>
      </c>
      <c r="C54" s="4" t="s">
        <v>33</v>
      </c>
      <c r="D54" s="4" t="s">
        <v>18</v>
      </c>
      <c r="E54" s="4" t="s">
        <v>28</v>
      </c>
      <c r="F54" s="4">
        <v>1</v>
      </c>
      <c r="G54" s="4">
        <v>9749</v>
      </c>
      <c r="H54" s="4">
        <v>15</v>
      </c>
      <c r="I54" s="5">
        <v>46064</v>
      </c>
      <c r="J54" s="5">
        <v>46070</v>
      </c>
      <c r="K54" s="24" t="s">
        <v>24</v>
      </c>
      <c r="L54" s="39">
        <f t="shared" si="0"/>
        <v>9749</v>
      </c>
    </row>
    <row r="55" spans="1:12" ht="15.6" x14ac:dyDescent="0.3">
      <c r="A55" s="3">
        <v>1054</v>
      </c>
      <c r="B55" s="4" t="s">
        <v>26</v>
      </c>
      <c r="C55" s="4" t="s">
        <v>25</v>
      </c>
      <c r="D55" s="4" t="s">
        <v>18</v>
      </c>
      <c r="E55" s="4" t="s">
        <v>23</v>
      </c>
      <c r="F55" s="4">
        <v>8</v>
      </c>
      <c r="G55" s="4">
        <v>9798</v>
      </c>
      <c r="H55" s="4">
        <v>12</v>
      </c>
      <c r="I55" s="5">
        <v>46200</v>
      </c>
      <c r="J55" s="5">
        <v>46201</v>
      </c>
      <c r="K55" s="24" t="s">
        <v>51</v>
      </c>
      <c r="L55" s="39">
        <f t="shared" si="0"/>
        <v>78384</v>
      </c>
    </row>
    <row r="56" spans="1:12" ht="15.6" x14ac:dyDescent="0.3">
      <c r="A56" s="3">
        <v>1055</v>
      </c>
      <c r="B56" s="4" t="s">
        <v>48</v>
      </c>
      <c r="C56" s="4" t="s">
        <v>12</v>
      </c>
      <c r="D56" s="4" t="s">
        <v>13</v>
      </c>
      <c r="E56" s="4" t="s">
        <v>37</v>
      </c>
      <c r="F56" s="4">
        <v>18</v>
      </c>
      <c r="G56" s="4">
        <v>185</v>
      </c>
      <c r="H56" s="4">
        <v>15</v>
      </c>
      <c r="I56" s="5">
        <v>46077</v>
      </c>
      <c r="J56" s="5">
        <v>46078</v>
      </c>
      <c r="K56" s="24" t="s">
        <v>15</v>
      </c>
      <c r="L56" s="39">
        <f t="shared" si="0"/>
        <v>3330</v>
      </c>
    </row>
    <row r="57" spans="1:12" ht="15.6" x14ac:dyDescent="0.3">
      <c r="A57" s="3">
        <v>1056</v>
      </c>
      <c r="B57" s="4" t="s">
        <v>11</v>
      </c>
      <c r="C57" s="4" t="s">
        <v>22</v>
      </c>
      <c r="D57" s="4" t="s">
        <v>18</v>
      </c>
      <c r="E57" s="4" t="s">
        <v>19</v>
      </c>
      <c r="F57" s="4">
        <v>3</v>
      </c>
      <c r="G57" s="4">
        <v>9771</v>
      </c>
      <c r="H57" s="4">
        <v>5</v>
      </c>
      <c r="I57" s="5">
        <v>46133</v>
      </c>
      <c r="J57" s="5">
        <v>46139</v>
      </c>
      <c r="K57" s="24" t="s">
        <v>24</v>
      </c>
      <c r="L57" s="39">
        <f t="shared" si="0"/>
        <v>29313</v>
      </c>
    </row>
    <row r="58" spans="1:12" ht="15.6" x14ac:dyDescent="0.3">
      <c r="A58" s="3">
        <v>1057</v>
      </c>
      <c r="B58" s="4" t="s">
        <v>59</v>
      </c>
      <c r="C58" s="4" t="s">
        <v>22</v>
      </c>
      <c r="D58" s="4" t="s">
        <v>18</v>
      </c>
      <c r="E58" s="4" t="s">
        <v>28</v>
      </c>
      <c r="F58" s="4">
        <v>2</v>
      </c>
      <c r="G58" s="4">
        <v>9531</v>
      </c>
      <c r="H58" s="4">
        <v>15</v>
      </c>
      <c r="I58" s="5">
        <v>46067</v>
      </c>
      <c r="J58" s="5">
        <v>46076</v>
      </c>
      <c r="K58" s="24" t="s">
        <v>51</v>
      </c>
      <c r="L58" s="39">
        <f t="shared" si="0"/>
        <v>19062</v>
      </c>
    </row>
    <row r="59" spans="1:12" ht="15.6" x14ac:dyDescent="0.3">
      <c r="A59" s="3">
        <v>1058</v>
      </c>
      <c r="B59" s="4" t="s">
        <v>52</v>
      </c>
      <c r="C59" s="4" t="s">
        <v>38</v>
      </c>
      <c r="D59" s="4" t="s">
        <v>18</v>
      </c>
      <c r="E59" s="4" t="s">
        <v>28</v>
      </c>
      <c r="F59" s="4">
        <v>10</v>
      </c>
      <c r="G59" s="4">
        <v>5532</v>
      </c>
      <c r="H59" s="4">
        <v>7</v>
      </c>
      <c r="I59" s="5">
        <v>46074</v>
      </c>
      <c r="J59" s="5">
        <v>46084</v>
      </c>
      <c r="K59" s="24" t="s">
        <v>24</v>
      </c>
      <c r="L59" s="39">
        <f t="shared" si="0"/>
        <v>55320</v>
      </c>
    </row>
    <row r="60" spans="1:12" ht="15.6" x14ac:dyDescent="0.3">
      <c r="A60" s="3">
        <v>1059</v>
      </c>
      <c r="B60" s="4" t="s">
        <v>54</v>
      </c>
      <c r="C60" s="4" t="s">
        <v>25</v>
      </c>
      <c r="D60" s="4" t="s">
        <v>13</v>
      </c>
      <c r="E60" s="4" t="s">
        <v>50</v>
      </c>
      <c r="F60" s="4">
        <v>20</v>
      </c>
      <c r="G60" s="4">
        <v>112</v>
      </c>
      <c r="H60" s="4">
        <v>10</v>
      </c>
      <c r="I60" s="5">
        <v>46113</v>
      </c>
      <c r="J60" s="5">
        <v>46122</v>
      </c>
      <c r="K60" s="24" t="s">
        <v>51</v>
      </c>
      <c r="L60" s="39">
        <f t="shared" si="0"/>
        <v>2240</v>
      </c>
    </row>
    <row r="61" spans="1:12" ht="15.6" x14ac:dyDescent="0.3">
      <c r="A61" s="3">
        <v>1060</v>
      </c>
      <c r="B61" s="4" t="s">
        <v>49</v>
      </c>
      <c r="C61" s="4" t="s">
        <v>12</v>
      </c>
      <c r="D61" s="4" t="s">
        <v>18</v>
      </c>
      <c r="E61" s="4" t="s">
        <v>44</v>
      </c>
      <c r="F61" s="4">
        <v>9</v>
      </c>
      <c r="G61" s="4">
        <v>9727</v>
      </c>
      <c r="H61" s="4">
        <v>2</v>
      </c>
      <c r="I61" s="5">
        <v>46024</v>
      </c>
      <c r="J61" s="5">
        <v>46030</v>
      </c>
      <c r="K61" s="24" t="s">
        <v>20</v>
      </c>
      <c r="L61" s="39">
        <f t="shared" si="0"/>
        <v>87543</v>
      </c>
    </row>
    <row r="62" spans="1:12" ht="15.6" x14ac:dyDescent="0.3">
      <c r="A62" s="3">
        <v>1061</v>
      </c>
      <c r="B62" s="4" t="s">
        <v>57</v>
      </c>
      <c r="C62" s="4" t="s">
        <v>12</v>
      </c>
      <c r="D62" s="4" t="s">
        <v>34</v>
      </c>
      <c r="E62" s="4" t="s">
        <v>41</v>
      </c>
      <c r="F62" s="4">
        <v>16</v>
      </c>
      <c r="G62" s="4">
        <v>59084</v>
      </c>
      <c r="H62" s="4">
        <v>0</v>
      </c>
      <c r="I62" s="5">
        <v>46060</v>
      </c>
      <c r="J62" s="5">
        <v>46069</v>
      </c>
      <c r="K62" s="24" t="s">
        <v>20</v>
      </c>
      <c r="L62" s="39">
        <f t="shared" si="0"/>
        <v>945344</v>
      </c>
    </row>
    <row r="63" spans="1:12" ht="15.6" x14ac:dyDescent="0.3">
      <c r="A63" s="3">
        <v>1062</v>
      </c>
      <c r="B63" s="4" t="s">
        <v>40</v>
      </c>
      <c r="C63" s="4" t="s">
        <v>43</v>
      </c>
      <c r="D63" s="4" t="s">
        <v>18</v>
      </c>
      <c r="E63" s="4" t="s">
        <v>23</v>
      </c>
      <c r="F63" s="4">
        <v>8</v>
      </c>
      <c r="G63" s="4">
        <v>8360</v>
      </c>
      <c r="H63" s="4">
        <v>2</v>
      </c>
      <c r="I63" s="5">
        <v>46190</v>
      </c>
      <c r="J63" s="5">
        <v>46200</v>
      </c>
      <c r="K63" s="24" t="s">
        <v>51</v>
      </c>
      <c r="L63" s="39">
        <f t="shared" si="0"/>
        <v>66880</v>
      </c>
    </row>
    <row r="64" spans="1:12" ht="15.6" x14ac:dyDescent="0.3">
      <c r="A64" s="3">
        <v>1063</v>
      </c>
      <c r="B64" s="4" t="s">
        <v>54</v>
      </c>
      <c r="C64" s="4" t="s">
        <v>22</v>
      </c>
      <c r="D64" s="4" t="s">
        <v>34</v>
      </c>
      <c r="E64" s="4" t="s">
        <v>45</v>
      </c>
      <c r="F64" s="4">
        <v>7</v>
      </c>
      <c r="G64" s="4">
        <v>66744</v>
      </c>
      <c r="H64" s="4">
        <v>7</v>
      </c>
      <c r="I64" s="5">
        <v>46148</v>
      </c>
      <c r="J64" s="5">
        <v>46155</v>
      </c>
      <c r="K64" s="24" t="s">
        <v>15</v>
      </c>
      <c r="L64" s="39">
        <f t="shared" si="0"/>
        <v>467208</v>
      </c>
    </row>
    <row r="65" spans="1:12" ht="15.6" x14ac:dyDescent="0.3">
      <c r="A65" s="3">
        <v>1064</v>
      </c>
      <c r="B65" s="4" t="s">
        <v>26</v>
      </c>
      <c r="C65" s="4" t="s">
        <v>17</v>
      </c>
      <c r="D65" s="4" t="s">
        <v>13</v>
      </c>
      <c r="E65" s="4" t="s">
        <v>50</v>
      </c>
      <c r="F65" s="4">
        <v>20</v>
      </c>
      <c r="G65" s="4">
        <v>191</v>
      </c>
      <c r="H65" s="4">
        <v>7</v>
      </c>
      <c r="I65" s="5">
        <v>46185</v>
      </c>
      <c r="J65" s="5">
        <v>46195</v>
      </c>
      <c r="K65" s="24" t="s">
        <v>29</v>
      </c>
      <c r="L65" s="39">
        <f t="shared" si="0"/>
        <v>3820</v>
      </c>
    </row>
    <row r="66" spans="1:12" ht="15.6" x14ac:dyDescent="0.3">
      <c r="A66" s="3">
        <v>1065</v>
      </c>
      <c r="B66" s="4" t="s">
        <v>42</v>
      </c>
      <c r="C66" s="4" t="s">
        <v>43</v>
      </c>
      <c r="D66" s="4" t="s">
        <v>18</v>
      </c>
      <c r="E66" s="4" t="s">
        <v>44</v>
      </c>
      <c r="F66" s="4">
        <v>1</v>
      </c>
      <c r="G66" s="4">
        <v>7730</v>
      </c>
      <c r="H66" s="4">
        <v>5</v>
      </c>
      <c r="I66" s="5">
        <v>46192</v>
      </c>
      <c r="J66" s="5">
        <v>46195</v>
      </c>
      <c r="K66" s="24" t="s">
        <v>51</v>
      </c>
      <c r="L66" s="39">
        <f t="shared" si="0"/>
        <v>7730</v>
      </c>
    </row>
    <row r="67" spans="1:12" ht="15.6" x14ac:dyDescent="0.3">
      <c r="A67" s="3">
        <v>1066</v>
      </c>
      <c r="B67" s="4" t="s">
        <v>47</v>
      </c>
      <c r="C67" s="4" t="s">
        <v>25</v>
      </c>
      <c r="D67" s="4" t="s">
        <v>18</v>
      </c>
      <c r="E67" s="4" t="s">
        <v>44</v>
      </c>
      <c r="F67" s="4">
        <v>15</v>
      </c>
      <c r="G67" s="4">
        <v>11987</v>
      </c>
      <c r="H67" s="4">
        <v>5</v>
      </c>
      <c r="I67" s="5">
        <v>46082</v>
      </c>
      <c r="J67" s="5">
        <v>46083</v>
      </c>
      <c r="K67" s="24" t="s">
        <v>15</v>
      </c>
      <c r="L67" s="39">
        <f t="shared" ref="L67:L130" si="1">(F67*G67)</f>
        <v>179805</v>
      </c>
    </row>
    <row r="68" spans="1:12" ht="15.6" x14ac:dyDescent="0.3">
      <c r="A68" s="3">
        <v>1067</v>
      </c>
      <c r="B68" s="4" t="s">
        <v>32</v>
      </c>
      <c r="C68" s="4" t="s">
        <v>43</v>
      </c>
      <c r="D68" s="4" t="s">
        <v>18</v>
      </c>
      <c r="E68" s="4" t="s">
        <v>56</v>
      </c>
      <c r="F68" s="4">
        <v>14</v>
      </c>
      <c r="G68" s="4">
        <v>10869</v>
      </c>
      <c r="H68" s="4">
        <v>0</v>
      </c>
      <c r="I68" s="5">
        <v>46058</v>
      </c>
      <c r="J68" s="5">
        <v>46062</v>
      </c>
      <c r="K68" s="24" t="s">
        <v>29</v>
      </c>
      <c r="L68" s="39">
        <f t="shared" si="1"/>
        <v>152166</v>
      </c>
    </row>
    <row r="69" spans="1:12" ht="15.6" x14ac:dyDescent="0.3">
      <c r="A69" s="3">
        <v>1068</v>
      </c>
      <c r="B69" s="4" t="s">
        <v>52</v>
      </c>
      <c r="C69" s="4" t="s">
        <v>43</v>
      </c>
      <c r="D69" s="4" t="s">
        <v>34</v>
      </c>
      <c r="E69" s="4" t="s">
        <v>60</v>
      </c>
      <c r="F69" s="4">
        <v>15</v>
      </c>
      <c r="G69" s="4">
        <v>14534</v>
      </c>
      <c r="H69" s="4">
        <v>5</v>
      </c>
      <c r="I69" s="5">
        <v>46196</v>
      </c>
      <c r="J69" s="5">
        <v>46199</v>
      </c>
      <c r="K69" s="24" t="s">
        <v>29</v>
      </c>
      <c r="L69" s="39">
        <f t="shared" si="1"/>
        <v>218010</v>
      </c>
    </row>
    <row r="70" spans="1:12" ht="15.6" x14ac:dyDescent="0.3">
      <c r="A70" s="3">
        <v>1069</v>
      </c>
      <c r="B70" s="4" t="s">
        <v>52</v>
      </c>
      <c r="C70" s="4" t="s">
        <v>31</v>
      </c>
      <c r="D70" s="4" t="s">
        <v>18</v>
      </c>
      <c r="E70" s="4" t="s">
        <v>28</v>
      </c>
      <c r="F70" s="4">
        <v>9</v>
      </c>
      <c r="G70" s="4">
        <v>4415</v>
      </c>
      <c r="H70" s="4">
        <v>5</v>
      </c>
      <c r="I70" s="5">
        <v>46039</v>
      </c>
      <c r="J70" s="5">
        <v>46046</v>
      </c>
      <c r="K70" s="24" t="s">
        <v>15</v>
      </c>
      <c r="L70" s="39">
        <f t="shared" si="1"/>
        <v>39735</v>
      </c>
    </row>
    <row r="71" spans="1:12" ht="15.6" x14ac:dyDescent="0.3">
      <c r="A71" s="3">
        <v>1070</v>
      </c>
      <c r="B71" s="4" t="s">
        <v>52</v>
      </c>
      <c r="C71" s="4" t="s">
        <v>43</v>
      </c>
      <c r="D71" s="4" t="s">
        <v>13</v>
      </c>
      <c r="E71" s="4" t="s">
        <v>36</v>
      </c>
      <c r="F71" s="4">
        <v>10</v>
      </c>
      <c r="G71" s="4">
        <v>233</v>
      </c>
      <c r="H71" s="4">
        <v>7</v>
      </c>
      <c r="I71" s="5">
        <v>46076</v>
      </c>
      <c r="J71" s="5">
        <v>46077</v>
      </c>
      <c r="K71" s="24" t="s">
        <v>29</v>
      </c>
      <c r="L71" s="39">
        <f t="shared" si="1"/>
        <v>2330</v>
      </c>
    </row>
    <row r="72" spans="1:12" ht="15.6" x14ac:dyDescent="0.3">
      <c r="A72" s="3">
        <v>1071</v>
      </c>
      <c r="B72" s="4" t="s">
        <v>59</v>
      </c>
      <c r="C72" s="4" t="s">
        <v>22</v>
      </c>
      <c r="D72" s="4" t="s">
        <v>34</v>
      </c>
      <c r="E72" s="4" t="s">
        <v>61</v>
      </c>
      <c r="F72" s="4">
        <v>18</v>
      </c>
      <c r="G72" s="4">
        <v>32197</v>
      </c>
      <c r="H72" s="4">
        <v>5</v>
      </c>
      <c r="I72" s="5">
        <v>46129</v>
      </c>
      <c r="J72" s="5">
        <v>46137</v>
      </c>
      <c r="K72" s="24" t="s">
        <v>20</v>
      </c>
      <c r="L72" s="39">
        <f t="shared" si="1"/>
        <v>579546</v>
      </c>
    </row>
    <row r="73" spans="1:12" ht="15.6" x14ac:dyDescent="0.3">
      <c r="A73" s="3">
        <v>1072</v>
      </c>
      <c r="B73" s="4" t="s">
        <v>16</v>
      </c>
      <c r="C73" s="4" t="s">
        <v>25</v>
      </c>
      <c r="D73" s="4" t="s">
        <v>34</v>
      </c>
      <c r="E73" s="4" t="s">
        <v>61</v>
      </c>
      <c r="F73" s="4">
        <v>20</v>
      </c>
      <c r="G73" s="4">
        <v>58779</v>
      </c>
      <c r="H73" s="4">
        <v>0</v>
      </c>
      <c r="I73" s="5">
        <v>46035</v>
      </c>
      <c r="J73" s="5">
        <v>46036</v>
      </c>
      <c r="K73" s="24" t="s">
        <v>24</v>
      </c>
      <c r="L73" s="39">
        <f t="shared" si="1"/>
        <v>1175580</v>
      </c>
    </row>
    <row r="74" spans="1:12" ht="15.6" x14ac:dyDescent="0.3">
      <c r="A74" s="3">
        <v>1073</v>
      </c>
      <c r="B74" s="4" t="s">
        <v>58</v>
      </c>
      <c r="C74" s="4" t="s">
        <v>17</v>
      </c>
      <c r="D74" s="4" t="s">
        <v>18</v>
      </c>
      <c r="E74" s="4" t="s">
        <v>56</v>
      </c>
      <c r="F74" s="4">
        <v>4</v>
      </c>
      <c r="G74" s="4">
        <v>2453</v>
      </c>
      <c r="H74" s="4">
        <v>7</v>
      </c>
      <c r="I74" s="5">
        <v>46126</v>
      </c>
      <c r="J74" s="5">
        <v>46129</v>
      </c>
      <c r="K74" s="24" t="s">
        <v>51</v>
      </c>
      <c r="L74" s="39">
        <f t="shared" si="1"/>
        <v>9812</v>
      </c>
    </row>
    <row r="75" spans="1:12" ht="15.6" x14ac:dyDescent="0.3">
      <c r="A75" s="3">
        <v>1074</v>
      </c>
      <c r="B75" s="4" t="s">
        <v>26</v>
      </c>
      <c r="C75" s="4" t="s">
        <v>31</v>
      </c>
      <c r="D75" s="4" t="s">
        <v>13</v>
      </c>
      <c r="E75" s="4" t="s">
        <v>50</v>
      </c>
      <c r="F75" s="4">
        <v>11</v>
      </c>
      <c r="G75" s="4">
        <v>390</v>
      </c>
      <c r="H75" s="4">
        <v>15</v>
      </c>
      <c r="I75" s="5">
        <v>46114</v>
      </c>
      <c r="J75" s="5">
        <v>46123</v>
      </c>
      <c r="K75" s="24" t="s">
        <v>29</v>
      </c>
      <c r="L75" s="39">
        <f t="shared" si="1"/>
        <v>4290</v>
      </c>
    </row>
    <row r="76" spans="1:12" ht="15.6" x14ac:dyDescent="0.3">
      <c r="A76" s="3">
        <v>1075</v>
      </c>
      <c r="B76" s="4" t="s">
        <v>42</v>
      </c>
      <c r="C76" s="4" t="s">
        <v>43</v>
      </c>
      <c r="D76" s="4" t="s">
        <v>34</v>
      </c>
      <c r="E76" s="4" t="s">
        <v>61</v>
      </c>
      <c r="F76" s="4">
        <v>4</v>
      </c>
      <c r="G76" s="4">
        <v>64773</v>
      </c>
      <c r="H76" s="4">
        <v>10</v>
      </c>
      <c r="I76" s="5">
        <v>46185</v>
      </c>
      <c r="J76" s="5">
        <v>46186</v>
      </c>
      <c r="K76" s="24" t="s">
        <v>51</v>
      </c>
      <c r="L76" s="39">
        <f t="shared" si="1"/>
        <v>259092</v>
      </c>
    </row>
    <row r="77" spans="1:12" ht="15.6" x14ac:dyDescent="0.3">
      <c r="A77" s="3">
        <v>1076</v>
      </c>
      <c r="B77" s="4" t="s">
        <v>29</v>
      </c>
      <c r="C77" s="4" t="s">
        <v>17</v>
      </c>
      <c r="D77" s="4" t="s">
        <v>34</v>
      </c>
      <c r="E77" s="4" t="s">
        <v>35</v>
      </c>
      <c r="F77" s="4">
        <v>19</v>
      </c>
      <c r="G77" s="4">
        <v>26714</v>
      </c>
      <c r="H77" s="4">
        <v>5</v>
      </c>
      <c r="I77" s="5">
        <v>46045</v>
      </c>
      <c r="J77" s="5">
        <v>46055</v>
      </c>
      <c r="K77" s="24" t="s">
        <v>29</v>
      </c>
      <c r="L77" s="39">
        <f t="shared" si="1"/>
        <v>507566</v>
      </c>
    </row>
    <row r="78" spans="1:12" ht="15.6" x14ac:dyDescent="0.3">
      <c r="A78" s="3">
        <v>1077</v>
      </c>
      <c r="B78" s="4" t="s">
        <v>55</v>
      </c>
      <c r="C78" s="4" t="s">
        <v>25</v>
      </c>
      <c r="D78" s="4" t="s">
        <v>13</v>
      </c>
      <c r="E78" s="4" t="s">
        <v>14</v>
      </c>
      <c r="F78" s="4">
        <v>1</v>
      </c>
      <c r="G78" s="4">
        <v>123</v>
      </c>
      <c r="H78" s="4">
        <v>10</v>
      </c>
      <c r="I78" s="5">
        <v>46113</v>
      </c>
      <c r="J78" s="5">
        <v>46121</v>
      </c>
      <c r="K78" s="24" t="s">
        <v>51</v>
      </c>
      <c r="L78" s="39">
        <f t="shared" si="1"/>
        <v>123</v>
      </c>
    </row>
    <row r="79" spans="1:12" ht="15.6" x14ac:dyDescent="0.3">
      <c r="A79" s="3">
        <v>1078</v>
      </c>
      <c r="B79" s="4" t="s">
        <v>52</v>
      </c>
      <c r="C79" s="4" t="s">
        <v>17</v>
      </c>
      <c r="D79" s="4" t="s">
        <v>34</v>
      </c>
      <c r="E79" s="4" t="s">
        <v>39</v>
      </c>
      <c r="F79" s="4">
        <v>11</v>
      </c>
      <c r="G79" s="4">
        <v>24278</v>
      </c>
      <c r="H79" s="4">
        <v>12</v>
      </c>
      <c r="I79" s="5">
        <v>46084</v>
      </c>
      <c r="J79" s="5">
        <v>46090</v>
      </c>
      <c r="K79" s="24" t="s">
        <v>29</v>
      </c>
      <c r="L79" s="39">
        <f t="shared" si="1"/>
        <v>267058</v>
      </c>
    </row>
    <row r="80" spans="1:12" ht="15.6" x14ac:dyDescent="0.3">
      <c r="A80" s="3">
        <v>1079</v>
      </c>
      <c r="B80" s="4" t="s">
        <v>26</v>
      </c>
      <c r="C80" s="4" t="s">
        <v>38</v>
      </c>
      <c r="D80" s="4" t="s">
        <v>34</v>
      </c>
      <c r="E80" s="4" t="s">
        <v>41</v>
      </c>
      <c r="F80" s="4">
        <v>19</v>
      </c>
      <c r="G80" s="4">
        <v>48956</v>
      </c>
      <c r="H80" s="4">
        <v>12</v>
      </c>
      <c r="I80" s="5">
        <v>46170</v>
      </c>
      <c r="J80" s="5">
        <v>46177</v>
      </c>
      <c r="K80" s="24" t="s">
        <v>51</v>
      </c>
      <c r="L80" s="39">
        <f t="shared" si="1"/>
        <v>930164</v>
      </c>
    </row>
    <row r="81" spans="1:12" ht="15.6" x14ac:dyDescent="0.3">
      <c r="A81" s="3">
        <v>1080</v>
      </c>
      <c r="B81" s="4" t="s">
        <v>21</v>
      </c>
      <c r="C81" s="4" t="s">
        <v>22</v>
      </c>
      <c r="D81" s="4" t="s">
        <v>34</v>
      </c>
      <c r="E81" s="4" t="s">
        <v>41</v>
      </c>
      <c r="F81" s="4">
        <v>12</v>
      </c>
      <c r="G81" s="4">
        <v>54161</v>
      </c>
      <c r="H81" s="4">
        <v>15</v>
      </c>
      <c r="I81" s="5">
        <v>46133</v>
      </c>
      <c r="J81" s="5">
        <v>46143</v>
      </c>
      <c r="K81" s="24" t="s">
        <v>24</v>
      </c>
      <c r="L81" s="39">
        <f t="shared" si="1"/>
        <v>649932</v>
      </c>
    </row>
    <row r="82" spans="1:12" ht="15.6" x14ac:dyDescent="0.3">
      <c r="A82" s="3">
        <v>1081</v>
      </c>
      <c r="B82" s="4" t="s">
        <v>47</v>
      </c>
      <c r="C82" s="4" t="s">
        <v>12</v>
      </c>
      <c r="D82" s="4" t="s">
        <v>34</v>
      </c>
      <c r="E82" s="4" t="s">
        <v>35</v>
      </c>
      <c r="F82" s="4">
        <v>15</v>
      </c>
      <c r="G82" s="4">
        <v>59912</v>
      </c>
      <c r="H82" s="4">
        <v>7</v>
      </c>
      <c r="I82" s="5">
        <v>46058</v>
      </c>
      <c r="J82" s="5">
        <v>46060</v>
      </c>
      <c r="K82" s="24" t="s">
        <v>51</v>
      </c>
      <c r="L82" s="39">
        <f t="shared" si="1"/>
        <v>898680</v>
      </c>
    </row>
    <row r="83" spans="1:12" ht="15.6" x14ac:dyDescent="0.3">
      <c r="A83" s="3">
        <v>1082</v>
      </c>
      <c r="B83" s="4" t="s">
        <v>21</v>
      </c>
      <c r="C83" s="4" t="s">
        <v>12</v>
      </c>
      <c r="D83" s="4" t="s">
        <v>13</v>
      </c>
      <c r="E83" s="4" t="s">
        <v>14</v>
      </c>
      <c r="F83" s="4">
        <v>7</v>
      </c>
      <c r="G83" s="4">
        <v>133</v>
      </c>
      <c r="H83" s="4">
        <v>10</v>
      </c>
      <c r="I83" s="5">
        <v>46075</v>
      </c>
      <c r="J83" s="5">
        <v>46085</v>
      </c>
      <c r="K83" s="24" t="s">
        <v>51</v>
      </c>
      <c r="L83" s="39">
        <f t="shared" si="1"/>
        <v>931</v>
      </c>
    </row>
    <row r="84" spans="1:12" ht="15.6" x14ac:dyDescent="0.3">
      <c r="A84" s="3">
        <v>1083</v>
      </c>
      <c r="B84" s="4" t="s">
        <v>55</v>
      </c>
      <c r="C84" s="4" t="s">
        <v>33</v>
      </c>
      <c r="D84" s="4" t="s">
        <v>13</v>
      </c>
      <c r="E84" s="4" t="s">
        <v>53</v>
      </c>
      <c r="F84" s="4">
        <v>4</v>
      </c>
      <c r="G84" s="4">
        <v>397</v>
      </c>
      <c r="H84" s="4">
        <v>7</v>
      </c>
      <c r="I84" s="5">
        <v>46185</v>
      </c>
      <c r="J84" s="5">
        <v>46193</v>
      </c>
      <c r="K84" s="24" t="s">
        <v>15</v>
      </c>
      <c r="L84" s="39">
        <f t="shared" si="1"/>
        <v>1588</v>
      </c>
    </row>
    <row r="85" spans="1:12" ht="15.6" x14ac:dyDescent="0.3">
      <c r="A85" s="3">
        <v>1084</v>
      </c>
      <c r="B85" s="4" t="s">
        <v>49</v>
      </c>
      <c r="C85" s="4" t="s">
        <v>31</v>
      </c>
      <c r="D85" s="4" t="s">
        <v>18</v>
      </c>
      <c r="E85" s="4" t="s">
        <v>28</v>
      </c>
      <c r="F85" s="4">
        <v>4</v>
      </c>
      <c r="G85" s="4">
        <v>6901</v>
      </c>
      <c r="H85" s="4">
        <v>10</v>
      </c>
      <c r="I85" s="5">
        <v>46047</v>
      </c>
      <c r="J85" s="5">
        <v>46057</v>
      </c>
      <c r="K85" s="24" t="s">
        <v>20</v>
      </c>
      <c r="L85" s="39">
        <f t="shared" si="1"/>
        <v>27604</v>
      </c>
    </row>
    <row r="86" spans="1:12" ht="15.6" x14ac:dyDescent="0.3">
      <c r="A86" s="3">
        <v>1085</v>
      </c>
      <c r="B86" s="4" t="s">
        <v>32</v>
      </c>
      <c r="C86" s="4" t="s">
        <v>38</v>
      </c>
      <c r="D86" s="4" t="s">
        <v>34</v>
      </c>
      <c r="E86" s="4" t="s">
        <v>60</v>
      </c>
      <c r="F86" s="4">
        <v>19</v>
      </c>
      <c r="G86" s="4">
        <v>45307</v>
      </c>
      <c r="H86" s="4">
        <v>12</v>
      </c>
      <c r="I86" s="5">
        <v>46146</v>
      </c>
      <c r="J86" s="5">
        <v>46150</v>
      </c>
      <c r="K86" s="24" t="s">
        <v>24</v>
      </c>
      <c r="L86" s="39">
        <f t="shared" si="1"/>
        <v>860833</v>
      </c>
    </row>
    <row r="87" spans="1:12" ht="15.6" x14ac:dyDescent="0.3">
      <c r="A87" s="3">
        <v>1086</v>
      </c>
      <c r="B87" s="4" t="s">
        <v>32</v>
      </c>
      <c r="C87" s="4" t="s">
        <v>12</v>
      </c>
      <c r="D87" s="4" t="s">
        <v>13</v>
      </c>
      <c r="E87" s="4" t="s">
        <v>53</v>
      </c>
      <c r="F87" s="4">
        <v>15</v>
      </c>
      <c r="G87" s="4">
        <v>40</v>
      </c>
      <c r="H87" s="4">
        <v>10</v>
      </c>
      <c r="I87" s="5">
        <v>46045</v>
      </c>
      <c r="J87" s="5">
        <v>46049</v>
      </c>
      <c r="K87" s="24" t="s">
        <v>24</v>
      </c>
      <c r="L87" s="39">
        <f t="shared" si="1"/>
        <v>600</v>
      </c>
    </row>
    <row r="88" spans="1:12" ht="15.6" x14ac:dyDescent="0.3">
      <c r="A88" s="3">
        <v>1087</v>
      </c>
      <c r="B88" s="4" t="s">
        <v>11</v>
      </c>
      <c r="C88" s="4" t="s">
        <v>31</v>
      </c>
      <c r="D88" s="4" t="s">
        <v>13</v>
      </c>
      <c r="E88" s="4" t="s">
        <v>37</v>
      </c>
      <c r="F88" s="4">
        <v>13</v>
      </c>
      <c r="G88" s="4">
        <v>387</v>
      </c>
      <c r="H88" s="4">
        <v>7</v>
      </c>
      <c r="I88" s="5">
        <v>46171</v>
      </c>
      <c r="J88" s="5">
        <v>46176</v>
      </c>
      <c r="K88" s="24" t="s">
        <v>24</v>
      </c>
      <c r="L88" s="39">
        <f t="shared" si="1"/>
        <v>5031</v>
      </c>
    </row>
    <row r="89" spans="1:12" ht="15.6" x14ac:dyDescent="0.3">
      <c r="A89" s="3">
        <v>1088</v>
      </c>
      <c r="B89" s="4" t="s">
        <v>40</v>
      </c>
      <c r="C89" s="4" t="s">
        <v>33</v>
      </c>
      <c r="D89" s="4" t="s">
        <v>34</v>
      </c>
      <c r="E89" s="4" t="s">
        <v>41</v>
      </c>
      <c r="F89" s="4">
        <v>20</v>
      </c>
      <c r="G89" s="4">
        <v>41165</v>
      </c>
      <c r="H89" s="4">
        <v>0</v>
      </c>
      <c r="I89" s="5">
        <v>46068</v>
      </c>
      <c r="J89" s="5">
        <v>46069</v>
      </c>
      <c r="K89" s="24" t="s">
        <v>20</v>
      </c>
      <c r="L89" s="39">
        <f t="shared" si="1"/>
        <v>823300</v>
      </c>
    </row>
    <row r="90" spans="1:12" ht="15.6" x14ac:dyDescent="0.3">
      <c r="A90" s="3">
        <v>1089</v>
      </c>
      <c r="B90" s="4" t="s">
        <v>46</v>
      </c>
      <c r="C90" s="4" t="s">
        <v>12</v>
      </c>
      <c r="D90" s="4" t="s">
        <v>34</v>
      </c>
      <c r="E90" s="4" t="s">
        <v>35</v>
      </c>
      <c r="F90" s="4">
        <v>10</v>
      </c>
      <c r="G90" s="4">
        <v>17041</v>
      </c>
      <c r="H90" s="4">
        <v>2</v>
      </c>
      <c r="I90" s="5">
        <v>46066</v>
      </c>
      <c r="J90" s="5">
        <v>46071</v>
      </c>
      <c r="K90" s="24" t="s">
        <v>24</v>
      </c>
      <c r="L90" s="39">
        <f t="shared" si="1"/>
        <v>170410</v>
      </c>
    </row>
    <row r="91" spans="1:12" ht="15.6" x14ac:dyDescent="0.3">
      <c r="A91" s="3">
        <v>1090</v>
      </c>
      <c r="B91" s="4" t="s">
        <v>49</v>
      </c>
      <c r="C91" s="4" t="s">
        <v>31</v>
      </c>
      <c r="D91" s="4" t="s">
        <v>34</v>
      </c>
      <c r="E91" s="4" t="s">
        <v>45</v>
      </c>
      <c r="F91" s="4">
        <v>19</v>
      </c>
      <c r="G91" s="4">
        <v>66139</v>
      </c>
      <c r="H91" s="4">
        <v>5</v>
      </c>
      <c r="I91" s="5">
        <v>46088</v>
      </c>
      <c r="J91" s="5">
        <v>46095</v>
      </c>
      <c r="K91" s="24" t="s">
        <v>24</v>
      </c>
      <c r="L91" s="39">
        <f t="shared" si="1"/>
        <v>1256641</v>
      </c>
    </row>
    <row r="92" spans="1:12" ht="15.6" x14ac:dyDescent="0.3">
      <c r="A92" s="3">
        <v>1091</v>
      </c>
      <c r="B92" s="4" t="s">
        <v>55</v>
      </c>
      <c r="C92" s="4" t="s">
        <v>17</v>
      </c>
      <c r="D92" s="4" t="s">
        <v>13</v>
      </c>
      <c r="E92" s="4" t="s">
        <v>53</v>
      </c>
      <c r="F92" s="4">
        <v>2</v>
      </c>
      <c r="G92" s="4">
        <v>305</v>
      </c>
      <c r="H92" s="4">
        <v>0</v>
      </c>
      <c r="I92" s="5">
        <v>46136</v>
      </c>
      <c r="J92" s="5">
        <v>46144</v>
      </c>
      <c r="K92" s="24" t="s">
        <v>15</v>
      </c>
      <c r="L92" s="39">
        <f t="shared" si="1"/>
        <v>610</v>
      </c>
    </row>
    <row r="93" spans="1:12" ht="15.6" x14ac:dyDescent="0.3">
      <c r="A93" s="3">
        <v>1092</v>
      </c>
      <c r="B93" s="4" t="s">
        <v>21</v>
      </c>
      <c r="C93" s="4" t="s">
        <v>22</v>
      </c>
      <c r="D93" s="4" t="s">
        <v>34</v>
      </c>
      <c r="E93" s="4" t="s">
        <v>41</v>
      </c>
      <c r="F93" s="4">
        <v>9</v>
      </c>
      <c r="G93" s="4">
        <v>23438</v>
      </c>
      <c r="H93" s="4">
        <v>2</v>
      </c>
      <c r="I93" s="5">
        <v>46049</v>
      </c>
      <c r="J93" s="5">
        <v>46055</v>
      </c>
      <c r="K93" s="24" t="s">
        <v>29</v>
      </c>
      <c r="L93" s="39">
        <f t="shared" si="1"/>
        <v>210942</v>
      </c>
    </row>
    <row r="94" spans="1:12" ht="15.6" x14ac:dyDescent="0.3">
      <c r="A94" s="3">
        <v>1093</v>
      </c>
      <c r="B94" s="4" t="s">
        <v>47</v>
      </c>
      <c r="C94" s="4" t="s">
        <v>25</v>
      </c>
      <c r="D94" s="4" t="s">
        <v>18</v>
      </c>
      <c r="E94" s="4" t="s">
        <v>23</v>
      </c>
      <c r="F94" s="4">
        <v>6</v>
      </c>
      <c r="G94" s="4">
        <v>8224</v>
      </c>
      <c r="H94" s="4">
        <v>15</v>
      </c>
      <c r="I94" s="5">
        <v>46175</v>
      </c>
      <c r="J94" s="5">
        <v>46185</v>
      </c>
      <c r="K94" s="24" t="s">
        <v>51</v>
      </c>
      <c r="L94" s="39">
        <f t="shared" si="1"/>
        <v>49344</v>
      </c>
    </row>
    <row r="95" spans="1:12" ht="15.6" x14ac:dyDescent="0.3">
      <c r="A95" s="3">
        <v>1094</v>
      </c>
      <c r="B95" s="4" t="s">
        <v>47</v>
      </c>
      <c r="C95" s="4" t="s">
        <v>43</v>
      </c>
      <c r="D95" s="4" t="s">
        <v>34</v>
      </c>
      <c r="E95" s="4" t="s">
        <v>61</v>
      </c>
      <c r="F95" s="4">
        <v>4</v>
      </c>
      <c r="G95" s="4">
        <v>7073</v>
      </c>
      <c r="H95" s="4">
        <v>0</v>
      </c>
      <c r="I95" s="5">
        <v>46101</v>
      </c>
      <c r="J95" s="5">
        <v>46105</v>
      </c>
      <c r="K95" s="24" t="s">
        <v>29</v>
      </c>
      <c r="L95" s="39">
        <f t="shared" si="1"/>
        <v>28292</v>
      </c>
    </row>
    <row r="96" spans="1:12" ht="15.6" x14ac:dyDescent="0.3">
      <c r="A96" s="3">
        <v>1095</v>
      </c>
      <c r="B96" s="4" t="s">
        <v>47</v>
      </c>
      <c r="C96" s="4" t="s">
        <v>25</v>
      </c>
      <c r="D96" s="4" t="s">
        <v>34</v>
      </c>
      <c r="E96" s="4" t="s">
        <v>41</v>
      </c>
      <c r="F96" s="4">
        <v>18</v>
      </c>
      <c r="G96" s="4">
        <v>587</v>
      </c>
      <c r="H96" s="4">
        <v>2</v>
      </c>
      <c r="I96" s="5">
        <v>46167</v>
      </c>
      <c r="J96" s="5">
        <v>46171</v>
      </c>
      <c r="K96" s="24" t="s">
        <v>20</v>
      </c>
      <c r="L96" s="39">
        <f t="shared" si="1"/>
        <v>10566</v>
      </c>
    </row>
    <row r="97" spans="1:12" ht="15.6" x14ac:dyDescent="0.3">
      <c r="A97" s="3">
        <v>1096</v>
      </c>
      <c r="B97" s="4" t="s">
        <v>49</v>
      </c>
      <c r="C97" s="4" t="s">
        <v>17</v>
      </c>
      <c r="D97" s="4" t="s">
        <v>18</v>
      </c>
      <c r="E97" s="4" t="s">
        <v>23</v>
      </c>
      <c r="F97" s="4">
        <v>15</v>
      </c>
      <c r="G97" s="4">
        <v>14724</v>
      </c>
      <c r="H97" s="4">
        <v>15</v>
      </c>
      <c r="I97" s="5">
        <v>46054</v>
      </c>
      <c r="J97" s="5">
        <v>46061</v>
      </c>
      <c r="K97" s="24" t="s">
        <v>20</v>
      </c>
      <c r="L97" s="39">
        <f t="shared" si="1"/>
        <v>220860</v>
      </c>
    </row>
    <row r="98" spans="1:12" ht="15.6" x14ac:dyDescent="0.3">
      <c r="A98" s="3">
        <v>1097</v>
      </c>
      <c r="B98" s="4" t="s">
        <v>52</v>
      </c>
      <c r="C98" s="4" t="s">
        <v>22</v>
      </c>
      <c r="D98" s="4" t="s">
        <v>34</v>
      </c>
      <c r="E98" s="4" t="s">
        <v>61</v>
      </c>
      <c r="F98" s="4">
        <v>10</v>
      </c>
      <c r="G98" s="4">
        <v>28980</v>
      </c>
      <c r="H98" s="4">
        <v>10</v>
      </c>
      <c r="I98" s="5">
        <v>46089</v>
      </c>
      <c r="J98" s="5">
        <v>46094</v>
      </c>
      <c r="K98" s="24" t="s">
        <v>24</v>
      </c>
      <c r="L98" s="39">
        <f t="shared" si="1"/>
        <v>289800</v>
      </c>
    </row>
    <row r="99" spans="1:12" ht="15.6" x14ac:dyDescent="0.3">
      <c r="A99" s="3">
        <v>1098</v>
      </c>
      <c r="B99" s="4" t="s">
        <v>26</v>
      </c>
      <c r="C99" s="4" t="s">
        <v>25</v>
      </c>
      <c r="D99" s="4" t="s">
        <v>13</v>
      </c>
      <c r="E99" s="4" t="s">
        <v>53</v>
      </c>
      <c r="F99" s="4">
        <v>17</v>
      </c>
      <c r="G99" s="4">
        <v>345</v>
      </c>
      <c r="H99" s="4">
        <v>2</v>
      </c>
      <c r="I99" s="5">
        <v>46126</v>
      </c>
      <c r="J99" s="5">
        <v>46127</v>
      </c>
      <c r="K99" s="24" t="s">
        <v>51</v>
      </c>
      <c r="L99" s="39">
        <f t="shared" si="1"/>
        <v>5865</v>
      </c>
    </row>
    <row r="100" spans="1:12" ht="15.6" x14ac:dyDescent="0.3">
      <c r="A100" s="3">
        <v>1099</v>
      </c>
      <c r="B100" s="4" t="s">
        <v>26</v>
      </c>
      <c r="C100" s="4" t="s">
        <v>31</v>
      </c>
      <c r="D100" s="4" t="s">
        <v>18</v>
      </c>
      <c r="E100" s="4" t="s">
        <v>19</v>
      </c>
      <c r="F100" s="4">
        <v>1</v>
      </c>
      <c r="G100" s="4">
        <v>5165</v>
      </c>
      <c r="H100" s="4">
        <v>2</v>
      </c>
      <c r="I100" s="5">
        <v>46058</v>
      </c>
      <c r="J100" s="5">
        <v>46060</v>
      </c>
      <c r="K100" s="24" t="s">
        <v>15</v>
      </c>
      <c r="L100" s="39">
        <f t="shared" si="1"/>
        <v>5165</v>
      </c>
    </row>
    <row r="101" spans="1:12" ht="15.6" x14ac:dyDescent="0.3">
      <c r="A101" s="3">
        <v>1100</v>
      </c>
      <c r="B101" s="4" t="s">
        <v>11</v>
      </c>
      <c r="C101" s="4" t="s">
        <v>31</v>
      </c>
      <c r="D101" s="4" t="s">
        <v>13</v>
      </c>
      <c r="E101" s="4" t="s">
        <v>14</v>
      </c>
      <c r="F101" s="4">
        <v>11</v>
      </c>
      <c r="G101" s="4">
        <v>296</v>
      </c>
      <c r="H101" s="4">
        <v>10</v>
      </c>
      <c r="I101" s="5">
        <v>46027</v>
      </c>
      <c r="J101" s="5">
        <v>46031</v>
      </c>
      <c r="K101" s="24" t="s">
        <v>51</v>
      </c>
      <c r="L101" s="39">
        <f t="shared" si="1"/>
        <v>3256</v>
      </c>
    </row>
    <row r="102" spans="1:12" ht="15.6" x14ac:dyDescent="0.3">
      <c r="A102" s="3">
        <v>1101</v>
      </c>
      <c r="B102" s="4" t="s">
        <v>27</v>
      </c>
      <c r="C102" s="4" t="s">
        <v>22</v>
      </c>
      <c r="D102" s="4" t="s">
        <v>34</v>
      </c>
      <c r="E102" s="4" t="s">
        <v>61</v>
      </c>
      <c r="F102" s="4">
        <v>9</v>
      </c>
      <c r="G102" s="4">
        <v>37361</v>
      </c>
      <c r="H102" s="4">
        <v>10</v>
      </c>
      <c r="I102" s="5">
        <v>46141</v>
      </c>
      <c r="J102" s="5">
        <v>46142</v>
      </c>
      <c r="K102" s="24" t="s">
        <v>24</v>
      </c>
      <c r="L102" s="39">
        <f t="shared" si="1"/>
        <v>336249</v>
      </c>
    </row>
    <row r="103" spans="1:12" ht="15.6" x14ac:dyDescent="0.3">
      <c r="A103" s="3">
        <v>1102</v>
      </c>
      <c r="B103" s="4" t="s">
        <v>54</v>
      </c>
      <c r="C103" s="4" t="s">
        <v>25</v>
      </c>
      <c r="D103" s="4" t="s">
        <v>34</v>
      </c>
      <c r="E103" s="4" t="s">
        <v>45</v>
      </c>
      <c r="F103" s="4">
        <v>12</v>
      </c>
      <c r="G103" s="4">
        <v>63402</v>
      </c>
      <c r="H103" s="4">
        <v>7</v>
      </c>
      <c r="I103" s="5">
        <v>46106</v>
      </c>
      <c r="J103" s="5">
        <v>46113</v>
      </c>
      <c r="K103" s="24" t="s">
        <v>51</v>
      </c>
      <c r="L103" s="39">
        <f t="shared" si="1"/>
        <v>760824</v>
      </c>
    </row>
    <row r="104" spans="1:12" ht="15.6" x14ac:dyDescent="0.3">
      <c r="A104" s="3">
        <v>1103</v>
      </c>
      <c r="B104" s="4" t="s">
        <v>16</v>
      </c>
      <c r="C104" s="4" t="s">
        <v>12</v>
      </c>
      <c r="D104" s="4" t="s">
        <v>18</v>
      </c>
      <c r="E104" s="4" t="s">
        <v>23</v>
      </c>
      <c r="F104" s="4">
        <v>7</v>
      </c>
      <c r="G104" s="4">
        <v>11925</v>
      </c>
      <c r="H104" s="4">
        <v>5</v>
      </c>
      <c r="I104" s="5">
        <v>46040</v>
      </c>
      <c r="J104" s="5">
        <v>46041</v>
      </c>
      <c r="K104" s="24" t="s">
        <v>29</v>
      </c>
      <c r="L104" s="39">
        <f t="shared" si="1"/>
        <v>83475</v>
      </c>
    </row>
    <row r="105" spans="1:12" ht="15.6" x14ac:dyDescent="0.3">
      <c r="A105" s="3">
        <v>1104</v>
      </c>
      <c r="B105" s="4" t="s">
        <v>16</v>
      </c>
      <c r="C105" s="4" t="s">
        <v>43</v>
      </c>
      <c r="D105" s="4" t="s">
        <v>18</v>
      </c>
      <c r="E105" s="4" t="s">
        <v>19</v>
      </c>
      <c r="F105" s="4">
        <v>10</v>
      </c>
      <c r="G105" s="4">
        <v>12848</v>
      </c>
      <c r="H105" s="4">
        <v>15</v>
      </c>
      <c r="I105" s="5">
        <v>46060</v>
      </c>
      <c r="J105" s="5">
        <v>46064</v>
      </c>
      <c r="K105" s="24" t="s">
        <v>29</v>
      </c>
      <c r="L105" s="39">
        <f t="shared" si="1"/>
        <v>128480</v>
      </c>
    </row>
    <row r="106" spans="1:12" ht="15.6" x14ac:dyDescent="0.3">
      <c r="A106" s="3">
        <v>1105</v>
      </c>
      <c r="B106" s="4" t="s">
        <v>59</v>
      </c>
      <c r="C106" s="4" t="s">
        <v>25</v>
      </c>
      <c r="D106" s="4" t="s">
        <v>13</v>
      </c>
      <c r="E106" s="4" t="s">
        <v>50</v>
      </c>
      <c r="F106" s="4">
        <v>2</v>
      </c>
      <c r="G106" s="4">
        <v>493</v>
      </c>
      <c r="H106" s="4">
        <v>12</v>
      </c>
      <c r="I106" s="5">
        <v>46057</v>
      </c>
      <c r="J106" s="5">
        <v>46066</v>
      </c>
      <c r="K106" s="24" t="s">
        <v>51</v>
      </c>
      <c r="L106" s="39">
        <f t="shared" si="1"/>
        <v>986</v>
      </c>
    </row>
    <row r="107" spans="1:12" ht="15.6" x14ac:dyDescent="0.3">
      <c r="A107" s="3">
        <v>1106</v>
      </c>
      <c r="B107" s="4" t="s">
        <v>27</v>
      </c>
      <c r="C107" s="4" t="s">
        <v>43</v>
      </c>
      <c r="D107" s="4" t="s">
        <v>18</v>
      </c>
      <c r="E107" s="4" t="s">
        <v>23</v>
      </c>
      <c r="F107" s="4">
        <v>20</v>
      </c>
      <c r="G107" s="4">
        <v>2141</v>
      </c>
      <c r="H107" s="4">
        <v>2</v>
      </c>
      <c r="I107" s="5">
        <v>46091</v>
      </c>
      <c r="J107" s="5">
        <v>46097</v>
      </c>
      <c r="K107" s="24" t="s">
        <v>29</v>
      </c>
      <c r="L107" s="39">
        <f t="shared" si="1"/>
        <v>42820</v>
      </c>
    </row>
    <row r="108" spans="1:12" ht="15.6" x14ac:dyDescent="0.3">
      <c r="A108" s="3">
        <v>1107</v>
      </c>
      <c r="B108" s="4" t="s">
        <v>52</v>
      </c>
      <c r="C108" s="4" t="s">
        <v>17</v>
      </c>
      <c r="D108" s="4" t="s">
        <v>34</v>
      </c>
      <c r="E108" s="4" t="s">
        <v>60</v>
      </c>
      <c r="F108" s="4">
        <v>4</v>
      </c>
      <c r="G108" s="4">
        <v>14291</v>
      </c>
      <c r="H108" s="4">
        <v>2</v>
      </c>
      <c r="I108" s="5">
        <v>46076</v>
      </c>
      <c r="J108" s="5">
        <v>46078</v>
      </c>
      <c r="K108" s="24" t="s">
        <v>15</v>
      </c>
      <c r="L108" s="39">
        <f t="shared" si="1"/>
        <v>57164</v>
      </c>
    </row>
    <row r="109" spans="1:12" ht="15.6" x14ac:dyDescent="0.3">
      <c r="A109" s="3">
        <v>1108</v>
      </c>
      <c r="B109" s="4" t="s">
        <v>42</v>
      </c>
      <c r="C109" s="4" t="s">
        <v>33</v>
      </c>
      <c r="D109" s="4" t="s">
        <v>18</v>
      </c>
      <c r="E109" s="4" t="s">
        <v>28</v>
      </c>
      <c r="F109" s="4">
        <v>15</v>
      </c>
      <c r="G109" s="4">
        <v>13843</v>
      </c>
      <c r="H109" s="4">
        <v>7</v>
      </c>
      <c r="I109" s="5">
        <v>46119</v>
      </c>
      <c r="J109" s="5">
        <v>46127</v>
      </c>
      <c r="K109" s="24" t="s">
        <v>20</v>
      </c>
      <c r="L109" s="39">
        <f t="shared" si="1"/>
        <v>207645</v>
      </c>
    </row>
    <row r="110" spans="1:12" ht="15.6" x14ac:dyDescent="0.3">
      <c r="A110" s="3">
        <v>1109</v>
      </c>
      <c r="B110" s="4" t="s">
        <v>21</v>
      </c>
      <c r="C110" s="4" t="s">
        <v>31</v>
      </c>
      <c r="D110" s="4" t="s">
        <v>18</v>
      </c>
      <c r="E110" s="4" t="s">
        <v>44</v>
      </c>
      <c r="F110" s="4">
        <v>19</v>
      </c>
      <c r="G110" s="4">
        <v>6512</v>
      </c>
      <c r="H110" s="4">
        <v>10</v>
      </c>
      <c r="I110" s="5">
        <v>46033</v>
      </c>
      <c r="J110" s="5">
        <v>46037</v>
      </c>
      <c r="K110" s="24" t="s">
        <v>20</v>
      </c>
      <c r="L110" s="39">
        <f t="shared" si="1"/>
        <v>123728</v>
      </c>
    </row>
    <row r="111" spans="1:12" ht="15.6" x14ac:dyDescent="0.3">
      <c r="A111" s="3">
        <v>1110</v>
      </c>
      <c r="B111" s="4" t="s">
        <v>49</v>
      </c>
      <c r="C111" s="4" t="s">
        <v>38</v>
      </c>
      <c r="D111" s="4" t="s">
        <v>18</v>
      </c>
      <c r="E111" s="4" t="s">
        <v>23</v>
      </c>
      <c r="F111" s="4">
        <v>14</v>
      </c>
      <c r="G111" s="4">
        <v>6793</v>
      </c>
      <c r="H111" s="4">
        <v>7</v>
      </c>
      <c r="I111" s="5">
        <v>46077</v>
      </c>
      <c r="J111" s="5">
        <v>46082</v>
      </c>
      <c r="K111" s="24" t="s">
        <v>29</v>
      </c>
      <c r="L111" s="39">
        <f t="shared" si="1"/>
        <v>95102</v>
      </c>
    </row>
    <row r="112" spans="1:12" ht="15.6" x14ac:dyDescent="0.3">
      <c r="A112" s="3">
        <v>1111</v>
      </c>
      <c r="B112" s="4" t="s">
        <v>47</v>
      </c>
      <c r="C112" s="4" t="s">
        <v>17</v>
      </c>
      <c r="D112" s="4" t="s">
        <v>34</v>
      </c>
      <c r="E112" s="4" t="s">
        <v>35</v>
      </c>
      <c r="F112" s="4">
        <v>5</v>
      </c>
      <c r="G112" s="4">
        <v>49945</v>
      </c>
      <c r="H112" s="4">
        <v>12</v>
      </c>
      <c r="I112" s="5">
        <v>46133</v>
      </c>
      <c r="J112" s="5">
        <v>46141</v>
      </c>
      <c r="K112" s="24" t="s">
        <v>29</v>
      </c>
      <c r="L112" s="39">
        <f t="shared" si="1"/>
        <v>249725</v>
      </c>
    </row>
    <row r="113" spans="1:12" ht="15.6" x14ac:dyDescent="0.3">
      <c r="A113" s="3">
        <v>1112</v>
      </c>
      <c r="B113" s="4" t="s">
        <v>21</v>
      </c>
      <c r="C113" s="4" t="s">
        <v>43</v>
      </c>
      <c r="D113" s="4" t="s">
        <v>18</v>
      </c>
      <c r="E113" s="4" t="s">
        <v>44</v>
      </c>
      <c r="F113" s="4">
        <v>7</v>
      </c>
      <c r="G113" s="4">
        <v>1959</v>
      </c>
      <c r="H113" s="4">
        <v>15</v>
      </c>
      <c r="I113" s="5">
        <v>46090</v>
      </c>
      <c r="J113" s="5">
        <v>46100</v>
      </c>
      <c r="K113" s="24" t="s">
        <v>15</v>
      </c>
      <c r="L113" s="39">
        <f t="shared" si="1"/>
        <v>13713</v>
      </c>
    </row>
    <row r="114" spans="1:12" ht="15.6" x14ac:dyDescent="0.3">
      <c r="A114" s="3">
        <v>1113</v>
      </c>
      <c r="B114" s="4" t="s">
        <v>26</v>
      </c>
      <c r="C114" s="4" t="s">
        <v>43</v>
      </c>
      <c r="D114" s="4" t="s">
        <v>18</v>
      </c>
      <c r="E114" s="4" t="s">
        <v>56</v>
      </c>
      <c r="F114" s="4">
        <v>13</v>
      </c>
      <c r="G114" s="4">
        <v>6719</v>
      </c>
      <c r="H114" s="4">
        <v>15</v>
      </c>
      <c r="I114" s="5">
        <v>46076</v>
      </c>
      <c r="J114" s="5">
        <v>46081</v>
      </c>
      <c r="K114" s="24" t="s">
        <v>24</v>
      </c>
      <c r="L114" s="39">
        <f t="shared" si="1"/>
        <v>87347</v>
      </c>
    </row>
    <row r="115" spans="1:12" ht="15.6" x14ac:dyDescent="0.3">
      <c r="A115" s="3">
        <v>1114</v>
      </c>
      <c r="B115" s="4" t="s">
        <v>16</v>
      </c>
      <c r="C115" s="4" t="s">
        <v>25</v>
      </c>
      <c r="D115" s="4" t="s">
        <v>13</v>
      </c>
      <c r="E115" s="4" t="s">
        <v>50</v>
      </c>
      <c r="F115" s="4">
        <v>13</v>
      </c>
      <c r="G115" s="4">
        <v>32</v>
      </c>
      <c r="H115" s="4">
        <v>15</v>
      </c>
      <c r="I115" s="5">
        <v>46066</v>
      </c>
      <c r="J115" s="5">
        <v>46069</v>
      </c>
      <c r="K115" s="24" t="s">
        <v>15</v>
      </c>
      <c r="L115" s="39">
        <f t="shared" si="1"/>
        <v>416</v>
      </c>
    </row>
    <row r="116" spans="1:12" ht="15.6" x14ac:dyDescent="0.3">
      <c r="A116" s="3">
        <v>1115</v>
      </c>
      <c r="B116" s="4" t="s">
        <v>59</v>
      </c>
      <c r="C116" s="4" t="s">
        <v>43</v>
      </c>
      <c r="D116" s="4" t="s">
        <v>13</v>
      </c>
      <c r="E116" s="4" t="s">
        <v>50</v>
      </c>
      <c r="F116" s="4">
        <v>9</v>
      </c>
      <c r="G116" s="4">
        <v>303</v>
      </c>
      <c r="H116" s="4">
        <v>10</v>
      </c>
      <c r="I116" s="5">
        <v>46149</v>
      </c>
      <c r="J116" s="5">
        <v>46157</v>
      </c>
      <c r="K116" s="24" t="s">
        <v>29</v>
      </c>
      <c r="L116" s="39">
        <f t="shared" si="1"/>
        <v>2727</v>
      </c>
    </row>
    <row r="117" spans="1:12" ht="15.6" x14ac:dyDescent="0.3">
      <c r="A117" s="3">
        <v>1116</v>
      </c>
      <c r="B117" s="4" t="s">
        <v>16</v>
      </c>
      <c r="C117" s="4" t="s">
        <v>25</v>
      </c>
      <c r="D117" s="4" t="s">
        <v>18</v>
      </c>
      <c r="E117" s="4" t="s">
        <v>56</v>
      </c>
      <c r="F117" s="4">
        <v>2</v>
      </c>
      <c r="G117" s="4">
        <v>12692</v>
      </c>
      <c r="H117" s="4">
        <v>15</v>
      </c>
      <c r="I117" s="5">
        <v>46049</v>
      </c>
      <c r="J117" s="5">
        <v>46051</v>
      </c>
      <c r="K117" s="24" t="s">
        <v>15</v>
      </c>
      <c r="L117" s="39">
        <f t="shared" si="1"/>
        <v>25384</v>
      </c>
    </row>
    <row r="118" spans="1:12" ht="15.6" x14ac:dyDescent="0.3">
      <c r="A118" s="3">
        <v>1117</v>
      </c>
      <c r="B118" s="4" t="s">
        <v>55</v>
      </c>
      <c r="C118" s="4" t="s">
        <v>43</v>
      </c>
      <c r="D118" s="4" t="s">
        <v>34</v>
      </c>
      <c r="E118" s="4" t="s">
        <v>39</v>
      </c>
      <c r="F118" s="4">
        <v>16</v>
      </c>
      <c r="G118" s="4">
        <v>33162</v>
      </c>
      <c r="H118" s="4">
        <v>7</v>
      </c>
      <c r="I118" s="5">
        <v>46147</v>
      </c>
      <c r="J118" s="5">
        <v>46155</v>
      </c>
      <c r="K118" s="24" t="s">
        <v>29</v>
      </c>
      <c r="L118" s="39">
        <f t="shared" si="1"/>
        <v>530592</v>
      </c>
    </row>
    <row r="119" spans="1:12" ht="15.6" x14ac:dyDescent="0.3">
      <c r="A119" s="3">
        <v>1118</v>
      </c>
      <c r="B119" s="4" t="s">
        <v>21</v>
      </c>
      <c r="C119" s="4" t="s">
        <v>22</v>
      </c>
      <c r="D119" s="4" t="s">
        <v>18</v>
      </c>
      <c r="E119" s="4" t="s">
        <v>23</v>
      </c>
      <c r="F119" s="4">
        <v>18</v>
      </c>
      <c r="G119" s="4">
        <v>9118</v>
      </c>
      <c r="H119" s="4">
        <v>5</v>
      </c>
      <c r="I119" s="5">
        <v>46178</v>
      </c>
      <c r="J119" s="5">
        <v>46187</v>
      </c>
      <c r="K119" s="24" t="s">
        <v>29</v>
      </c>
      <c r="L119" s="39">
        <f t="shared" si="1"/>
        <v>164124</v>
      </c>
    </row>
    <row r="120" spans="1:12" ht="15.6" x14ac:dyDescent="0.3">
      <c r="A120" s="3">
        <v>1119</v>
      </c>
      <c r="B120" s="4" t="s">
        <v>30</v>
      </c>
      <c r="C120" s="4" t="s">
        <v>43</v>
      </c>
      <c r="D120" s="4" t="s">
        <v>18</v>
      </c>
      <c r="E120" s="4" t="s">
        <v>28</v>
      </c>
      <c r="F120" s="4">
        <v>2</v>
      </c>
      <c r="G120" s="4">
        <v>3706</v>
      </c>
      <c r="H120" s="4">
        <v>5</v>
      </c>
      <c r="I120" s="5">
        <v>46184</v>
      </c>
      <c r="J120" s="5">
        <v>46192</v>
      </c>
      <c r="K120" s="24" t="s">
        <v>51</v>
      </c>
      <c r="L120" s="39">
        <f t="shared" si="1"/>
        <v>7412</v>
      </c>
    </row>
    <row r="121" spans="1:12" ht="15.6" x14ac:dyDescent="0.3">
      <c r="A121" s="3">
        <v>1120</v>
      </c>
      <c r="B121" s="4" t="s">
        <v>32</v>
      </c>
      <c r="C121" s="4" t="s">
        <v>38</v>
      </c>
      <c r="D121" s="4" t="s">
        <v>13</v>
      </c>
      <c r="E121" s="4" t="s">
        <v>36</v>
      </c>
      <c r="F121" s="4">
        <v>10</v>
      </c>
      <c r="G121" s="4">
        <v>438</v>
      </c>
      <c r="H121" s="4">
        <v>10</v>
      </c>
      <c r="I121" s="5">
        <v>46061</v>
      </c>
      <c r="J121" s="5">
        <v>46065</v>
      </c>
      <c r="K121" s="24" t="s">
        <v>51</v>
      </c>
      <c r="L121" s="39">
        <f t="shared" si="1"/>
        <v>4380</v>
      </c>
    </row>
    <row r="122" spans="1:12" ht="15.6" x14ac:dyDescent="0.3">
      <c r="A122" s="3">
        <v>1121</v>
      </c>
      <c r="B122" s="4" t="s">
        <v>29</v>
      </c>
      <c r="C122" s="4" t="s">
        <v>12</v>
      </c>
      <c r="D122" s="4" t="s">
        <v>34</v>
      </c>
      <c r="E122" s="4" t="s">
        <v>39</v>
      </c>
      <c r="F122" s="4">
        <v>4</v>
      </c>
      <c r="G122" s="4">
        <v>55809</v>
      </c>
      <c r="H122" s="4">
        <v>2</v>
      </c>
      <c r="I122" s="5">
        <v>46103</v>
      </c>
      <c r="J122" s="5">
        <v>46108</v>
      </c>
      <c r="K122" s="24" t="s">
        <v>29</v>
      </c>
      <c r="L122" s="39">
        <f t="shared" si="1"/>
        <v>223236</v>
      </c>
    </row>
    <row r="123" spans="1:12" ht="15.6" x14ac:dyDescent="0.3">
      <c r="A123" s="3">
        <v>1122</v>
      </c>
      <c r="B123" s="4" t="s">
        <v>40</v>
      </c>
      <c r="C123" s="4" t="s">
        <v>22</v>
      </c>
      <c r="D123" s="4" t="s">
        <v>34</v>
      </c>
      <c r="E123" s="4" t="s">
        <v>39</v>
      </c>
      <c r="F123" s="4">
        <v>14</v>
      </c>
      <c r="G123" s="4">
        <v>49990</v>
      </c>
      <c r="H123" s="4">
        <v>10</v>
      </c>
      <c r="I123" s="5">
        <v>46132</v>
      </c>
      <c r="J123" s="5">
        <v>46135</v>
      </c>
      <c r="K123" s="24" t="s">
        <v>29</v>
      </c>
      <c r="L123" s="39">
        <f t="shared" si="1"/>
        <v>699860</v>
      </c>
    </row>
    <row r="124" spans="1:12" ht="15.6" x14ac:dyDescent="0.3">
      <c r="A124" s="3">
        <v>1123</v>
      </c>
      <c r="B124" s="4" t="s">
        <v>32</v>
      </c>
      <c r="C124" s="4" t="s">
        <v>31</v>
      </c>
      <c r="D124" s="4" t="s">
        <v>34</v>
      </c>
      <c r="E124" s="4" t="s">
        <v>45</v>
      </c>
      <c r="F124" s="4">
        <v>16</v>
      </c>
      <c r="G124" s="4">
        <v>1332</v>
      </c>
      <c r="H124" s="4">
        <v>7</v>
      </c>
      <c r="I124" s="5">
        <v>46107</v>
      </c>
      <c r="J124" s="5">
        <v>46109</v>
      </c>
      <c r="K124" s="24" t="s">
        <v>29</v>
      </c>
      <c r="L124" s="39">
        <f t="shared" si="1"/>
        <v>21312</v>
      </c>
    </row>
    <row r="125" spans="1:12" ht="15.6" x14ac:dyDescent="0.3">
      <c r="A125" s="3">
        <v>1124</v>
      </c>
      <c r="B125" s="4" t="s">
        <v>27</v>
      </c>
      <c r="C125" s="4" t="s">
        <v>38</v>
      </c>
      <c r="D125" s="4" t="s">
        <v>18</v>
      </c>
      <c r="E125" s="4" t="s">
        <v>56</v>
      </c>
      <c r="F125" s="4">
        <v>4</v>
      </c>
      <c r="G125" s="4">
        <v>14195</v>
      </c>
      <c r="H125" s="4">
        <v>15</v>
      </c>
      <c r="I125" s="5">
        <v>46182</v>
      </c>
      <c r="J125" s="5">
        <v>46189</v>
      </c>
      <c r="K125" s="24" t="s">
        <v>51</v>
      </c>
      <c r="L125" s="39">
        <f t="shared" si="1"/>
        <v>56780</v>
      </c>
    </row>
    <row r="126" spans="1:12" ht="15.6" x14ac:dyDescent="0.3">
      <c r="A126" s="3">
        <v>1125</v>
      </c>
      <c r="B126" s="4" t="s">
        <v>49</v>
      </c>
      <c r="C126" s="4" t="s">
        <v>33</v>
      </c>
      <c r="D126" s="4" t="s">
        <v>13</v>
      </c>
      <c r="E126" s="4" t="s">
        <v>14</v>
      </c>
      <c r="F126" s="4">
        <v>6</v>
      </c>
      <c r="G126" s="4">
        <v>30</v>
      </c>
      <c r="H126" s="4">
        <v>2</v>
      </c>
      <c r="I126" s="5">
        <v>46133</v>
      </c>
      <c r="J126" s="5">
        <v>46138</v>
      </c>
      <c r="K126" s="24" t="s">
        <v>24</v>
      </c>
      <c r="L126" s="39">
        <f t="shared" si="1"/>
        <v>180</v>
      </c>
    </row>
    <row r="127" spans="1:12" ht="15.6" x14ac:dyDescent="0.3">
      <c r="A127" s="3">
        <v>1126</v>
      </c>
      <c r="B127" s="4" t="s">
        <v>46</v>
      </c>
      <c r="C127" s="4" t="s">
        <v>22</v>
      </c>
      <c r="D127" s="4" t="s">
        <v>34</v>
      </c>
      <c r="E127" s="4" t="s">
        <v>39</v>
      </c>
      <c r="F127" s="4">
        <v>17</v>
      </c>
      <c r="G127" s="4">
        <v>19390</v>
      </c>
      <c r="H127" s="4">
        <v>12</v>
      </c>
      <c r="I127" s="5">
        <v>46201</v>
      </c>
      <c r="J127" s="5">
        <v>46206</v>
      </c>
      <c r="K127" s="24" t="s">
        <v>29</v>
      </c>
      <c r="L127" s="39">
        <f t="shared" si="1"/>
        <v>329630</v>
      </c>
    </row>
    <row r="128" spans="1:12" ht="15.6" x14ac:dyDescent="0.3">
      <c r="A128" s="3">
        <v>1127</v>
      </c>
      <c r="B128" s="4" t="s">
        <v>26</v>
      </c>
      <c r="C128" s="4" t="s">
        <v>33</v>
      </c>
      <c r="D128" s="4" t="s">
        <v>18</v>
      </c>
      <c r="E128" s="4" t="s">
        <v>28</v>
      </c>
      <c r="F128" s="4">
        <v>15</v>
      </c>
      <c r="G128" s="4">
        <v>11694</v>
      </c>
      <c r="H128" s="4">
        <v>12</v>
      </c>
      <c r="I128" s="5">
        <v>46170</v>
      </c>
      <c r="J128" s="5">
        <v>46179</v>
      </c>
      <c r="K128" s="24" t="s">
        <v>29</v>
      </c>
      <c r="L128" s="39">
        <f t="shared" si="1"/>
        <v>175410</v>
      </c>
    </row>
    <row r="129" spans="1:12" ht="15.6" x14ac:dyDescent="0.3">
      <c r="A129" s="3">
        <v>1128</v>
      </c>
      <c r="B129" s="4" t="s">
        <v>30</v>
      </c>
      <c r="C129" s="4" t="s">
        <v>22</v>
      </c>
      <c r="D129" s="4" t="s">
        <v>34</v>
      </c>
      <c r="E129" s="4" t="s">
        <v>61</v>
      </c>
      <c r="F129" s="4">
        <v>6</v>
      </c>
      <c r="G129" s="4">
        <v>5001</v>
      </c>
      <c r="H129" s="4">
        <v>7</v>
      </c>
      <c r="I129" s="5">
        <v>46044</v>
      </c>
      <c r="J129" s="5">
        <v>46050</v>
      </c>
      <c r="K129" s="24" t="s">
        <v>29</v>
      </c>
      <c r="L129" s="39">
        <f t="shared" si="1"/>
        <v>30006</v>
      </c>
    </row>
    <row r="130" spans="1:12" ht="15.6" x14ac:dyDescent="0.3">
      <c r="A130" s="3">
        <v>1129</v>
      </c>
      <c r="B130" s="4" t="s">
        <v>58</v>
      </c>
      <c r="C130" s="4" t="s">
        <v>17</v>
      </c>
      <c r="D130" s="4" t="s">
        <v>13</v>
      </c>
      <c r="E130" s="4" t="s">
        <v>50</v>
      </c>
      <c r="F130" s="4">
        <v>15</v>
      </c>
      <c r="G130" s="4">
        <v>75</v>
      </c>
      <c r="H130" s="4">
        <v>7</v>
      </c>
      <c r="I130" s="5">
        <v>46160</v>
      </c>
      <c r="J130" s="5">
        <v>46164</v>
      </c>
      <c r="K130" s="24" t="s">
        <v>29</v>
      </c>
      <c r="L130" s="39">
        <f t="shared" si="1"/>
        <v>1125</v>
      </c>
    </row>
    <row r="131" spans="1:12" ht="15.6" x14ac:dyDescent="0.3">
      <c r="A131" s="3">
        <v>1130</v>
      </c>
      <c r="B131" s="4" t="s">
        <v>48</v>
      </c>
      <c r="C131" s="4" t="s">
        <v>33</v>
      </c>
      <c r="D131" s="4" t="s">
        <v>13</v>
      </c>
      <c r="E131" s="4" t="s">
        <v>14</v>
      </c>
      <c r="F131" s="4">
        <v>12</v>
      </c>
      <c r="G131" s="4">
        <v>50</v>
      </c>
      <c r="H131" s="4">
        <v>2</v>
      </c>
      <c r="I131" s="5">
        <v>46125</v>
      </c>
      <c r="J131" s="5">
        <v>46131</v>
      </c>
      <c r="K131" s="24" t="s">
        <v>24</v>
      </c>
      <c r="L131" s="39">
        <f t="shared" ref="L131:L194" si="2">(F131*G131)</f>
        <v>600</v>
      </c>
    </row>
    <row r="132" spans="1:12" ht="15.6" x14ac:dyDescent="0.3">
      <c r="A132" s="3">
        <v>1131</v>
      </c>
      <c r="B132" s="4" t="s">
        <v>21</v>
      </c>
      <c r="C132" s="4" t="s">
        <v>31</v>
      </c>
      <c r="D132" s="4" t="s">
        <v>18</v>
      </c>
      <c r="E132" s="4" t="s">
        <v>23</v>
      </c>
      <c r="F132" s="4">
        <v>13</v>
      </c>
      <c r="G132" s="4">
        <v>3083</v>
      </c>
      <c r="H132" s="4">
        <v>7</v>
      </c>
      <c r="I132" s="5">
        <v>46168</v>
      </c>
      <c r="J132" s="5">
        <v>46173</v>
      </c>
      <c r="K132" s="24" t="s">
        <v>51</v>
      </c>
      <c r="L132" s="39">
        <f t="shared" si="2"/>
        <v>40079</v>
      </c>
    </row>
    <row r="133" spans="1:12" ht="15.6" x14ac:dyDescent="0.3">
      <c r="A133" s="3">
        <v>1132</v>
      </c>
      <c r="B133" s="4" t="s">
        <v>11</v>
      </c>
      <c r="C133" s="4" t="s">
        <v>31</v>
      </c>
      <c r="D133" s="4" t="s">
        <v>13</v>
      </c>
      <c r="E133" s="4" t="s">
        <v>50</v>
      </c>
      <c r="F133" s="4">
        <v>10</v>
      </c>
      <c r="G133" s="4">
        <v>270</v>
      </c>
      <c r="H133" s="4">
        <v>7</v>
      </c>
      <c r="I133" s="5">
        <v>46024</v>
      </c>
      <c r="J133" s="5">
        <v>46034</v>
      </c>
      <c r="K133" s="24" t="s">
        <v>24</v>
      </c>
      <c r="L133" s="39">
        <f t="shared" si="2"/>
        <v>2700</v>
      </c>
    </row>
    <row r="134" spans="1:12" ht="15.6" x14ac:dyDescent="0.3">
      <c r="A134" s="3">
        <v>1133</v>
      </c>
      <c r="B134" s="4" t="s">
        <v>11</v>
      </c>
      <c r="C134" s="4" t="s">
        <v>12</v>
      </c>
      <c r="D134" s="4" t="s">
        <v>18</v>
      </c>
      <c r="E134" s="4" t="s">
        <v>56</v>
      </c>
      <c r="F134" s="4">
        <v>6</v>
      </c>
      <c r="G134" s="4">
        <v>9037</v>
      </c>
      <c r="H134" s="4">
        <v>2</v>
      </c>
      <c r="I134" s="5">
        <v>46112</v>
      </c>
      <c r="J134" s="5">
        <v>46121</v>
      </c>
      <c r="K134" s="24" t="s">
        <v>51</v>
      </c>
      <c r="L134" s="39">
        <f t="shared" si="2"/>
        <v>54222</v>
      </c>
    </row>
    <row r="135" spans="1:12" ht="15.6" x14ac:dyDescent="0.3">
      <c r="A135" s="3">
        <v>1134</v>
      </c>
      <c r="B135" s="4" t="s">
        <v>57</v>
      </c>
      <c r="C135" s="4" t="s">
        <v>31</v>
      </c>
      <c r="D135" s="4" t="s">
        <v>34</v>
      </c>
      <c r="E135" s="4" t="s">
        <v>61</v>
      </c>
      <c r="F135" s="4">
        <v>10</v>
      </c>
      <c r="G135" s="4">
        <v>29217</v>
      </c>
      <c r="H135" s="4">
        <v>15</v>
      </c>
      <c r="I135" s="5">
        <v>46148</v>
      </c>
      <c r="J135" s="5">
        <v>46150</v>
      </c>
      <c r="K135" s="24" t="s">
        <v>24</v>
      </c>
      <c r="L135" s="39">
        <f t="shared" si="2"/>
        <v>292170</v>
      </c>
    </row>
    <row r="136" spans="1:12" ht="15.6" x14ac:dyDescent="0.3">
      <c r="A136" s="3">
        <v>1135</v>
      </c>
      <c r="B136" s="4" t="s">
        <v>49</v>
      </c>
      <c r="C136" s="4" t="s">
        <v>43</v>
      </c>
      <c r="D136" s="4" t="s">
        <v>34</v>
      </c>
      <c r="E136" s="4" t="s">
        <v>39</v>
      </c>
      <c r="F136" s="4">
        <v>14</v>
      </c>
      <c r="G136" s="4">
        <v>68534</v>
      </c>
      <c r="H136" s="4">
        <v>0</v>
      </c>
      <c r="I136" s="5">
        <v>46041</v>
      </c>
      <c r="J136" s="5">
        <v>46042</v>
      </c>
      <c r="K136" s="24" t="s">
        <v>15</v>
      </c>
      <c r="L136" s="39">
        <f t="shared" si="2"/>
        <v>959476</v>
      </c>
    </row>
    <row r="137" spans="1:12" ht="15.6" x14ac:dyDescent="0.3">
      <c r="A137" s="3">
        <v>1136</v>
      </c>
      <c r="B137" s="4" t="s">
        <v>27</v>
      </c>
      <c r="C137" s="4" t="s">
        <v>43</v>
      </c>
      <c r="D137" s="4" t="s">
        <v>18</v>
      </c>
      <c r="E137" s="4" t="s">
        <v>56</v>
      </c>
      <c r="F137" s="4">
        <v>19</v>
      </c>
      <c r="G137" s="4">
        <v>14528</v>
      </c>
      <c r="H137" s="4">
        <v>12</v>
      </c>
      <c r="I137" s="5">
        <v>46056</v>
      </c>
      <c r="J137" s="5">
        <v>46062</v>
      </c>
      <c r="K137" s="24" t="s">
        <v>24</v>
      </c>
      <c r="L137" s="39">
        <f t="shared" si="2"/>
        <v>276032</v>
      </c>
    </row>
    <row r="138" spans="1:12" ht="15.6" x14ac:dyDescent="0.3">
      <c r="A138" s="3">
        <v>1137</v>
      </c>
      <c r="B138" s="4" t="s">
        <v>52</v>
      </c>
      <c r="C138" s="4" t="s">
        <v>12</v>
      </c>
      <c r="D138" s="4" t="s">
        <v>13</v>
      </c>
      <c r="E138" s="4" t="s">
        <v>37</v>
      </c>
      <c r="F138" s="4">
        <v>16</v>
      </c>
      <c r="G138" s="4">
        <v>270</v>
      </c>
      <c r="H138" s="4">
        <v>10</v>
      </c>
      <c r="I138" s="5">
        <v>46184</v>
      </c>
      <c r="J138" s="5">
        <v>46190</v>
      </c>
      <c r="K138" s="24" t="s">
        <v>29</v>
      </c>
      <c r="L138" s="39">
        <f t="shared" si="2"/>
        <v>4320</v>
      </c>
    </row>
    <row r="139" spans="1:12" ht="15.6" x14ac:dyDescent="0.3">
      <c r="A139" s="3">
        <v>1138</v>
      </c>
      <c r="B139" s="4" t="s">
        <v>55</v>
      </c>
      <c r="C139" s="4" t="s">
        <v>43</v>
      </c>
      <c r="D139" s="4" t="s">
        <v>18</v>
      </c>
      <c r="E139" s="4" t="s">
        <v>19</v>
      </c>
      <c r="F139" s="4">
        <v>5</v>
      </c>
      <c r="G139" s="4">
        <v>14466</v>
      </c>
      <c r="H139" s="4">
        <v>2</v>
      </c>
      <c r="I139" s="5">
        <v>46084</v>
      </c>
      <c r="J139" s="5">
        <v>46092</v>
      </c>
      <c r="K139" s="24" t="s">
        <v>51</v>
      </c>
      <c r="L139" s="39">
        <f t="shared" si="2"/>
        <v>72330</v>
      </c>
    </row>
    <row r="140" spans="1:12" ht="15.6" x14ac:dyDescent="0.3">
      <c r="A140" s="3">
        <v>1139</v>
      </c>
      <c r="B140" s="4" t="s">
        <v>55</v>
      </c>
      <c r="C140" s="4" t="s">
        <v>33</v>
      </c>
      <c r="D140" s="4" t="s">
        <v>34</v>
      </c>
      <c r="E140" s="4" t="s">
        <v>61</v>
      </c>
      <c r="F140" s="4">
        <v>17</v>
      </c>
      <c r="G140" s="4">
        <v>28839</v>
      </c>
      <c r="H140" s="4">
        <v>10</v>
      </c>
      <c r="I140" s="5">
        <v>46093</v>
      </c>
      <c r="J140" s="5">
        <v>46099</v>
      </c>
      <c r="K140" s="24" t="s">
        <v>15</v>
      </c>
      <c r="L140" s="39">
        <f t="shared" si="2"/>
        <v>490263</v>
      </c>
    </row>
    <row r="141" spans="1:12" ht="15.6" x14ac:dyDescent="0.3">
      <c r="A141" s="3">
        <v>1140</v>
      </c>
      <c r="B141" s="4" t="s">
        <v>57</v>
      </c>
      <c r="C141" s="4" t="s">
        <v>38</v>
      </c>
      <c r="D141" s="4" t="s">
        <v>34</v>
      </c>
      <c r="E141" s="4" t="s">
        <v>41</v>
      </c>
      <c r="F141" s="4">
        <v>5</v>
      </c>
      <c r="G141" s="4">
        <v>68012</v>
      </c>
      <c r="H141" s="4">
        <v>5</v>
      </c>
      <c r="I141" s="5">
        <v>46061</v>
      </c>
      <c r="J141" s="5">
        <v>46065</v>
      </c>
      <c r="K141" s="24" t="s">
        <v>15</v>
      </c>
      <c r="L141" s="39">
        <f t="shared" si="2"/>
        <v>340060</v>
      </c>
    </row>
    <row r="142" spans="1:12" ht="15.6" x14ac:dyDescent="0.3">
      <c r="A142" s="3">
        <v>1141</v>
      </c>
      <c r="B142" s="4" t="s">
        <v>11</v>
      </c>
      <c r="C142" s="4" t="s">
        <v>17</v>
      </c>
      <c r="D142" s="4" t="s">
        <v>18</v>
      </c>
      <c r="E142" s="4" t="s">
        <v>44</v>
      </c>
      <c r="F142" s="4">
        <v>20</v>
      </c>
      <c r="G142" s="4">
        <v>6835</v>
      </c>
      <c r="H142" s="4">
        <v>2</v>
      </c>
      <c r="I142" s="5">
        <v>46043</v>
      </c>
      <c r="J142" s="5">
        <v>46053</v>
      </c>
      <c r="K142" s="24" t="s">
        <v>15</v>
      </c>
      <c r="L142" s="39">
        <f t="shared" si="2"/>
        <v>136700</v>
      </c>
    </row>
    <row r="143" spans="1:12" ht="15.6" x14ac:dyDescent="0.3">
      <c r="A143" s="3">
        <v>1142</v>
      </c>
      <c r="B143" s="4" t="s">
        <v>40</v>
      </c>
      <c r="C143" s="4" t="s">
        <v>25</v>
      </c>
      <c r="D143" s="4" t="s">
        <v>34</v>
      </c>
      <c r="E143" s="4" t="s">
        <v>60</v>
      </c>
      <c r="F143" s="4">
        <v>9</v>
      </c>
      <c r="G143" s="4">
        <v>59788</v>
      </c>
      <c r="H143" s="4">
        <v>7</v>
      </c>
      <c r="I143" s="5">
        <v>46064</v>
      </c>
      <c r="J143" s="5">
        <v>46071</v>
      </c>
      <c r="K143" s="24" t="s">
        <v>29</v>
      </c>
      <c r="L143" s="39">
        <f t="shared" si="2"/>
        <v>538092</v>
      </c>
    </row>
    <row r="144" spans="1:12" ht="15.6" x14ac:dyDescent="0.3">
      <c r="A144" s="3">
        <v>1143</v>
      </c>
      <c r="B144" s="4" t="s">
        <v>29</v>
      </c>
      <c r="C144" s="4" t="s">
        <v>17</v>
      </c>
      <c r="D144" s="4" t="s">
        <v>13</v>
      </c>
      <c r="E144" s="4" t="s">
        <v>37</v>
      </c>
      <c r="F144" s="4">
        <v>13</v>
      </c>
      <c r="G144" s="4">
        <v>456</v>
      </c>
      <c r="H144" s="4">
        <v>2</v>
      </c>
      <c r="I144" s="5">
        <v>46160</v>
      </c>
      <c r="J144" s="5">
        <v>46167</v>
      </c>
      <c r="K144" s="24" t="s">
        <v>24</v>
      </c>
      <c r="L144" s="39">
        <f t="shared" si="2"/>
        <v>5928</v>
      </c>
    </row>
    <row r="145" spans="1:12" ht="15.6" x14ac:dyDescent="0.3">
      <c r="A145" s="3">
        <v>1144</v>
      </c>
      <c r="B145" s="4" t="s">
        <v>42</v>
      </c>
      <c r="C145" s="4" t="s">
        <v>25</v>
      </c>
      <c r="D145" s="4" t="s">
        <v>13</v>
      </c>
      <c r="E145" s="4" t="s">
        <v>14</v>
      </c>
      <c r="F145" s="4">
        <v>16</v>
      </c>
      <c r="G145" s="4">
        <v>219</v>
      </c>
      <c r="H145" s="4">
        <v>7</v>
      </c>
      <c r="I145" s="5">
        <v>46138</v>
      </c>
      <c r="J145" s="5">
        <v>46140</v>
      </c>
      <c r="K145" s="24" t="s">
        <v>20</v>
      </c>
      <c r="L145" s="39">
        <f t="shared" si="2"/>
        <v>3504</v>
      </c>
    </row>
    <row r="146" spans="1:12" ht="15.6" x14ac:dyDescent="0.3">
      <c r="A146" s="3">
        <v>1145</v>
      </c>
      <c r="B146" s="4" t="s">
        <v>42</v>
      </c>
      <c r="C146" s="4" t="s">
        <v>33</v>
      </c>
      <c r="D146" s="4" t="s">
        <v>34</v>
      </c>
      <c r="E146" s="4" t="s">
        <v>39</v>
      </c>
      <c r="F146" s="4">
        <v>2</v>
      </c>
      <c r="G146" s="4">
        <v>34429</v>
      </c>
      <c r="H146" s="4">
        <v>12</v>
      </c>
      <c r="I146" s="5">
        <v>46102</v>
      </c>
      <c r="J146" s="5">
        <v>46112</v>
      </c>
      <c r="K146" s="24" t="s">
        <v>24</v>
      </c>
      <c r="L146" s="39">
        <f t="shared" si="2"/>
        <v>68858</v>
      </c>
    </row>
    <row r="147" spans="1:12" ht="15.6" x14ac:dyDescent="0.3">
      <c r="A147" s="3">
        <v>1146</v>
      </c>
      <c r="B147" s="4" t="s">
        <v>16</v>
      </c>
      <c r="C147" s="4" t="s">
        <v>43</v>
      </c>
      <c r="D147" s="4" t="s">
        <v>34</v>
      </c>
      <c r="E147" s="4" t="s">
        <v>45</v>
      </c>
      <c r="F147" s="4">
        <v>7</v>
      </c>
      <c r="G147" s="4">
        <v>68217</v>
      </c>
      <c r="H147" s="4">
        <v>0</v>
      </c>
      <c r="I147" s="5">
        <v>46190</v>
      </c>
      <c r="J147" s="5">
        <v>46197</v>
      </c>
      <c r="K147" s="24" t="s">
        <v>29</v>
      </c>
      <c r="L147" s="39">
        <f t="shared" si="2"/>
        <v>477519</v>
      </c>
    </row>
    <row r="148" spans="1:12" ht="15.6" x14ac:dyDescent="0.3">
      <c r="A148" s="3">
        <v>1147</v>
      </c>
      <c r="B148" s="4" t="s">
        <v>11</v>
      </c>
      <c r="C148" s="4" t="s">
        <v>22</v>
      </c>
      <c r="D148" s="4" t="s">
        <v>18</v>
      </c>
      <c r="E148" s="4" t="s">
        <v>28</v>
      </c>
      <c r="F148" s="4">
        <v>7</v>
      </c>
      <c r="G148" s="4">
        <v>9581</v>
      </c>
      <c r="H148" s="4">
        <v>5</v>
      </c>
      <c r="I148" s="5">
        <v>46154</v>
      </c>
      <c r="J148" s="5">
        <v>46155</v>
      </c>
      <c r="K148" s="24" t="s">
        <v>20</v>
      </c>
      <c r="L148" s="39">
        <f t="shared" si="2"/>
        <v>67067</v>
      </c>
    </row>
    <row r="149" spans="1:12" ht="15.6" x14ac:dyDescent="0.3">
      <c r="A149" s="3">
        <v>1148</v>
      </c>
      <c r="B149" s="4" t="s">
        <v>59</v>
      </c>
      <c r="C149" s="4" t="s">
        <v>33</v>
      </c>
      <c r="D149" s="4" t="s">
        <v>18</v>
      </c>
      <c r="E149" s="4" t="s">
        <v>28</v>
      </c>
      <c r="F149" s="4">
        <v>11</v>
      </c>
      <c r="G149" s="4">
        <v>3023</v>
      </c>
      <c r="H149" s="4">
        <v>7</v>
      </c>
      <c r="I149" s="5">
        <v>46030</v>
      </c>
      <c r="J149" s="5">
        <v>46032</v>
      </c>
      <c r="K149" s="24" t="s">
        <v>24</v>
      </c>
      <c r="L149" s="39">
        <f t="shared" si="2"/>
        <v>33253</v>
      </c>
    </row>
    <row r="150" spans="1:12" ht="15.6" x14ac:dyDescent="0.3">
      <c r="A150" s="3">
        <v>1149</v>
      </c>
      <c r="B150" s="4" t="s">
        <v>26</v>
      </c>
      <c r="C150" s="4" t="s">
        <v>38</v>
      </c>
      <c r="D150" s="4" t="s">
        <v>34</v>
      </c>
      <c r="E150" s="4" t="s">
        <v>35</v>
      </c>
      <c r="F150" s="4">
        <v>10</v>
      </c>
      <c r="G150" s="4">
        <v>22853</v>
      </c>
      <c r="H150" s="4">
        <v>7</v>
      </c>
      <c r="I150" s="5">
        <v>46053</v>
      </c>
      <c r="J150" s="5">
        <v>46054</v>
      </c>
      <c r="K150" s="24" t="s">
        <v>29</v>
      </c>
      <c r="L150" s="39">
        <f t="shared" si="2"/>
        <v>228530</v>
      </c>
    </row>
    <row r="151" spans="1:12" ht="15.6" x14ac:dyDescent="0.3">
      <c r="A151" s="3">
        <v>1150</v>
      </c>
      <c r="B151" s="4" t="s">
        <v>42</v>
      </c>
      <c r="C151" s="4" t="s">
        <v>12</v>
      </c>
      <c r="D151" s="4" t="s">
        <v>18</v>
      </c>
      <c r="E151" s="4" t="s">
        <v>56</v>
      </c>
      <c r="F151" s="4">
        <v>10</v>
      </c>
      <c r="G151" s="4">
        <v>5323</v>
      </c>
      <c r="H151" s="4">
        <v>7</v>
      </c>
      <c r="I151" s="5">
        <v>46143</v>
      </c>
      <c r="J151" s="5">
        <v>46153</v>
      </c>
      <c r="K151" s="24" t="s">
        <v>24</v>
      </c>
      <c r="L151" s="39">
        <f t="shared" si="2"/>
        <v>53230</v>
      </c>
    </row>
    <row r="152" spans="1:12" ht="15.6" x14ac:dyDescent="0.3">
      <c r="A152" s="3">
        <v>1151</v>
      </c>
      <c r="B152" s="4" t="s">
        <v>46</v>
      </c>
      <c r="C152" s="4" t="s">
        <v>43</v>
      </c>
      <c r="D152" s="4" t="s">
        <v>13</v>
      </c>
      <c r="E152" s="4" t="s">
        <v>50</v>
      </c>
      <c r="F152" s="4">
        <v>20</v>
      </c>
      <c r="G152" s="4">
        <v>272</v>
      </c>
      <c r="H152" s="4">
        <v>15</v>
      </c>
      <c r="I152" s="5">
        <v>46024</v>
      </c>
      <c r="J152" s="5">
        <v>46029</v>
      </c>
      <c r="K152" s="24" t="s">
        <v>51</v>
      </c>
      <c r="L152" s="39">
        <f t="shared" si="2"/>
        <v>5440</v>
      </c>
    </row>
    <row r="153" spans="1:12" ht="15.6" x14ac:dyDescent="0.3">
      <c r="A153" s="3">
        <v>1152</v>
      </c>
      <c r="B153" s="4" t="s">
        <v>27</v>
      </c>
      <c r="C153" s="4" t="s">
        <v>31</v>
      </c>
      <c r="D153" s="4" t="s">
        <v>34</v>
      </c>
      <c r="E153" s="4" t="s">
        <v>61</v>
      </c>
      <c r="F153" s="4">
        <v>14</v>
      </c>
      <c r="G153" s="4">
        <v>8150</v>
      </c>
      <c r="H153" s="4">
        <v>10</v>
      </c>
      <c r="I153" s="5">
        <v>46062</v>
      </c>
      <c r="J153" s="5">
        <v>46070</v>
      </c>
      <c r="K153" s="24" t="s">
        <v>15</v>
      </c>
      <c r="L153" s="39">
        <f t="shared" si="2"/>
        <v>114100</v>
      </c>
    </row>
    <row r="154" spans="1:12" ht="15.6" x14ac:dyDescent="0.3">
      <c r="A154" s="3">
        <v>1153</v>
      </c>
      <c r="B154" s="4" t="s">
        <v>42</v>
      </c>
      <c r="C154" s="4" t="s">
        <v>25</v>
      </c>
      <c r="D154" s="4" t="s">
        <v>18</v>
      </c>
      <c r="E154" s="4" t="s">
        <v>23</v>
      </c>
      <c r="F154" s="4">
        <v>19</v>
      </c>
      <c r="G154" s="4">
        <v>10273</v>
      </c>
      <c r="H154" s="4">
        <v>12</v>
      </c>
      <c r="I154" s="5">
        <v>46069</v>
      </c>
      <c r="J154" s="5">
        <v>46072</v>
      </c>
      <c r="K154" s="24" t="s">
        <v>29</v>
      </c>
      <c r="L154" s="39">
        <f t="shared" si="2"/>
        <v>195187</v>
      </c>
    </row>
    <row r="155" spans="1:12" ht="15.6" x14ac:dyDescent="0.3">
      <c r="A155" s="3">
        <v>1154</v>
      </c>
      <c r="B155" s="4" t="s">
        <v>32</v>
      </c>
      <c r="C155" s="4" t="s">
        <v>17</v>
      </c>
      <c r="D155" s="4" t="s">
        <v>18</v>
      </c>
      <c r="E155" s="4" t="s">
        <v>56</v>
      </c>
      <c r="F155" s="4">
        <v>15</v>
      </c>
      <c r="G155" s="4">
        <v>6101</v>
      </c>
      <c r="H155" s="4">
        <v>0</v>
      </c>
      <c r="I155" s="5">
        <v>46178</v>
      </c>
      <c r="J155" s="5">
        <v>46183</v>
      </c>
      <c r="K155" s="24" t="s">
        <v>51</v>
      </c>
      <c r="L155" s="39">
        <f t="shared" si="2"/>
        <v>91515</v>
      </c>
    </row>
    <row r="156" spans="1:12" ht="15.6" x14ac:dyDescent="0.3">
      <c r="A156" s="3">
        <v>1155</v>
      </c>
      <c r="B156" s="4" t="s">
        <v>11</v>
      </c>
      <c r="C156" s="4" t="s">
        <v>31</v>
      </c>
      <c r="D156" s="4" t="s">
        <v>18</v>
      </c>
      <c r="E156" s="4" t="s">
        <v>28</v>
      </c>
      <c r="F156" s="4">
        <v>13</v>
      </c>
      <c r="G156" s="4">
        <v>4341</v>
      </c>
      <c r="H156" s="4">
        <v>15</v>
      </c>
      <c r="I156" s="5">
        <v>46093</v>
      </c>
      <c r="J156" s="5">
        <v>46096</v>
      </c>
      <c r="K156" s="24" t="s">
        <v>24</v>
      </c>
      <c r="L156" s="39">
        <f t="shared" si="2"/>
        <v>56433</v>
      </c>
    </row>
    <row r="157" spans="1:12" ht="15.6" x14ac:dyDescent="0.3">
      <c r="A157" s="3">
        <v>1156</v>
      </c>
      <c r="B157" s="4" t="s">
        <v>54</v>
      </c>
      <c r="C157" s="4" t="s">
        <v>38</v>
      </c>
      <c r="D157" s="4" t="s">
        <v>13</v>
      </c>
      <c r="E157" s="4" t="s">
        <v>36</v>
      </c>
      <c r="F157" s="4">
        <v>5</v>
      </c>
      <c r="G157" s="4">
        <v>466</v>
      </c>
      <c r="H157" s="4">
        <v>15</v>
      </c>
      <c r="I157" s="5">
        <v>46025</v>
      </c>
      <c r="J157" s="5">
        <v>46029</v>
      </c>
      <c r="K157" s="24" t="s">
        <v>15</v>
      </c>
      <c r="L157" s="39">
        <f t="shared" si="2"/>
        <v>2330</v>
      </c>
    </row>
    <row r="158" spans="1:12" ht="15.6" x14ac:dyDescent="0.3">
      <c r="A158" s="3">
        <v>1157</v>
      </c>
      <c r="B158" s="4" t="s">
        <v>52</v>
      </c>
      <c r="C158" s="4" t="s">
        <v>33</v>
      </c>
      <c r="D158" s="4" t="s">
        <v>13</v>
      </c>
      <c r="E158" s="4" t="s">
        <v>50</v>
      </c>
      <c r="F158" s="4">
        <v>3</v>
      </c>
      <c r="G158" s="4">
        <v>203</v>
      </c>
      <c r="H158" s="4">
        <v>15</v>
      </c>
      <c r="I158" s="5">
        <v>46076</v>
      </c>
      <c r="J158" s="5">
        <v>46080</v>
      </c>
      <c r="K158" s="24" t="s">
        <v>29</v>
      </c>
      <c r="L158" s="39">
        <f t="shared" si="2"/>
        <v>609</v>
      </c>
    </row>
    <row r="159" spans="1:12" ht="15.6" x14ac:dyDescent="0.3">
      <c r="A159" s="3">
        <v>1158</v>
      </c>
      <c r="B159" s="4" t="s">
        <v>26</v>
      </c>
      <c r="C159" s="4" t="s">
        <v>38</v>
      </c>
      <c r="D159" s="4" t="s">
        <v>34</v>
      </c>
      <c r="E159" s="4" t="s">
        <v>41</v>
      </c>
      <c r="F159" s="4">
        <v>13</v>
      </c>
      <c r="G159" s="4">
        <v>12518</v>
      </c>
      <c r="H159" s="4">
        <v>2</v>
      </c>
      <c r="I159" s="5">
        <v>46079</v>
      </c>
      <c r="J159" s="5">
        <v>46082</v>
      </c>
      <c r="K159" s="24" t="s">
        <v>51</v>
      </c>
      <c r="L159" s="39">
        <f t="shared" si="2"/>
        <v>162734</v>
      </c>
    </row>
    <row r="160" spans="1:12" ht="15.6" x14ac:dyDescent="0.3">
      <c r="A160" s="3">
        <v>1159</v>
      </c>
      <c r="B160" s="4" t="s">
        <v>32</v>
      </c>
      <c r="C160" s="4" t="s">
        <v>43</v>
      </c>
      <c r="D160" s="4" t="s">
        <v>18</v>
      </c>
      <c r="E160" s="4" t="s">
        <v>28</v>
      </c>
      <c r="F160" s="4">
        <v>20</v>
      </c>
      <c r="G160" s="4">
        <v>14000</v>
      </c>
      <c r="H160" s="4">
        <v>15</v>
      </c>
      <c r="I160" s="5">
        <v>46184</v>
      </c>
      <c r="J160" s="5">
        <v>46187</v>
      </c>
      <c r="K160" s="24" t="s">
        <v>15</v>
      </c>
      <c r="L160" s="39">
        <f t="shared" si="2"/>
        <v>280000</v>
      </c>
    </row>
    <row r="161" spans="1:12" ht="15.6" x14ac:dyDescent="0.3">
      <c r="A161" s="3">
        <v>1160</v>
      </c>
      <c r="B161" s="4" t="s">
        <v>59</v>
      </c>
      <c r="C161" s="4" t="s">
        <v>22</v>
      </c>
      <c r="D161" s="4" t="s">
        <v>34</v>
      </c>
      <c r="E161" s="4" t="s">
        <v>39</v>
      </c>
      <c r="F161" s="4">
        <v>7</v>
      </c>
      <c r="G161" s="4">
        <v>53986</v>
      </c>
      <c r="H161" s="4">
        <v>10</v>
      </c>
      <c r="I161" s="5">
        <v>46142</v>
      </c>
      <c r="J161" s="5">
        <v>46147</v>
      </c>
      <c r="K161" s="24" t="s">
        <v>51</v>
      </c>
      <c r="L161" s="39">
        <f t="shared" si="2"/>
        <v>377902</v>
      </c>
    </row>
    <row r="162" spans="1:12" ht="15.6" x14ac:dyDescent="0.3">
      <c r="A162" s="3">
        <v>1161</v>
      </c>
      <c r="B162" s="4" t="s">
        <v>27</v>
      </c>
      <c r="C162" s="4" t="s">
        <v>25</v>
      </c>
      <c r="D162" s="4" t="s">
        <v>34</v>
      </c>
      <c r="E162" s="4" t="s">
        <v>39</v>
      </c>
      <c r="F162" s="4">
        <v>4</v>
      </c>
      <c r="G162" s="4">
        <v>54659</v>
      </c>
      <c r="H162" s="4">
        <v>7</v>
      </c>
      <c r="I162" s="5">
        <v>46105</v>
      </c>
      <c r="J162" s="5">
        <v>46109</v>
      </c>
      <c r="K162" s="24" t="s">
        <v>20</v>
      </c>
      <c r="L162" s="39">
        <f t="shared" si="2"/>
        <v>218636</v>
      </c>
    </row>
    <row r="163" spans="1:12" ht="15.6" x14ac:dyDescent="0.3">
      <c r="A163" s="3">
        <v>1162</v>
      </c>
      <c r="B163" s="4" t="s">
        <v>57</v>
      </c>
      <c r="C163" s="4" t="s">
        <v>31</v>
      </c>
      <c r="D163" s="4" t="s">
        <v>34</v>
      </c>
      <c r="E163" s="4" t="s">
        <v>45</v>
      </c>
      <c r="F163" s="4">
        <v>2</v>
      </c>
      <c r="G163" s="4">
        <v>28176</v>
      </c>
      <c r="H163" s="4">
        <v>10</v>
      </c>
      <c r="I163" s="5">
        <v>46100</v>
      </c>
      <c r="J163" s="5">
        <v>46101</v>
      </c>
      <c r="K163" s="24" t="s">
        <v>20</v>
      </c>
      <c r="L163" s="39">
        <f t="shared" si="2"/>
        <v>56352</v>
      </c>
    </row>
    <row r="164" spans="1:12" ht="15.6" x14ac:dyDescent="0.3">
      <c r="A164" s="3">
        <v>1163</v>
      </c>
      <c r="B164" s="4" t="s">
        <v>29</v>
      </c>
      <c r="C164" s="4" t="s">
        <v>38</v>
      </c>
      <c r="D164" s="4" t="s">
        <v>34</v>
      </c>
      <c r="E164" s="4" t="s">
        <v>39</v>
      </c>
      <c r="F164" s="4">
        <v>9</v>
      </c>
      <c r="G164" s="4">
        <v>62440</v>
      </c>
      <c r="H164" s="4">
        <v>2</v>
      </c>
      <c r="I164" s="5">
        <v>46081</v>
      </c>
      <c r="J164" s="5">
        <v>46086</v>
      </c>
      <c r="K164" s="24" t="s">
        <v>29</v>
      </c>
      <c r="L164" s="39">
        <f t="shared" si="2"/>
        <v>561960</v>
      </c>
    </row>
    <row r="165" spans="1:12" ht="15.6" x14ac:dyDescent="0.3">
      <c r="A165" s="3">
        <v>1164</v>
      </c>
      <c r="B165" s="4" t="s">
        <v>40</v>
      </c>
      <c r="C165" s="4" t="s">
        <v>43</v>
      </c>
      <c r="D165" s="4" t="s">
        <v>34</v>
      </c>
      <c r="E165" s="4" t="s">
        <v>61</v>
      </c>
      <c r="F165" s="4">
        <v>7</v>
      </c>
      <c r="G165" s="4">
        <v>24615</v>
      </c>
      <c r="H165" s="4">
        <v>12</v>
      </c>
      <c r="I165" s="5">
        <v>46196</v>
      </c>
      <c r="J165" s="5">
        <v>46203</v>
      </c>
      <c r="K165" s="24" t="s">
        <v>51</v>
      </c>
      <c r="L165" s="39">
        <f t="shared" si="2"/>
        <v>172305</v>
      </c>
    </row>
    <row r="166" spans="1:12" ht="15.6" x14ac:dyDescent="0.3">
      <c r="A166" s="3">
        <v>1165</v>
      </c>
      <c r="B166" s="4" t="s">
        <v>48</v>
      </c>
      <c r="C166" s="4" t="s">
        <v>25</v>
      </c>
      <c r="D166" s="4" t="s">
        <v>13</v>
      </c>
      <c r="E166" s="4" t="s">
        <v>37</v>
      </c>
      <c r="F166" s="4">
        <v>1</v>
      </c>
      <c r="G166" s="4">
        <v>427</v>
      </c>
      <c r="H166" s="4">
        <v>0</v>
      </c>
      <c r="I166" s="5">
        <v>46042</v>
      </c>
      <c r="J166" s="5">
        <v>46050</v>
      </c>
      <c r="K166" s="24" t="s">
        <v>51</v>
      </c>
      <c r="L166" s="39">
        <f t="shared" si="2"/>
        <v>427</v>
      </c>
    </row>
    <row r="167" spans="1:12" ht="15.6" x14ac:dyDescent="0.3">
      <c r="A167" s="3">
        <v>1166</v>
      </c>
      <c r="B167" s="4" t="s">
        <v>32</v>
      </c>
      <c r="C167" s="4" t="s">
        <v>31</v>
      </c>
      <c r="D167" s="4" t="s">
        <v>13</v>
      </c>
      <c r="E167" s="4" t="s">
        <v>37</v>
      </c>
      <c r="F167" s="4">
        <v>1</v>
      </c>
      <c r="G167" s="4">
        <v>396</v>
      </c>
      <c r="H167" s="4">
        <v>5</v>
      </c>
      <c r="I167" s="5">
        <v>46092</v>
      </c>
      <c r="J167" s="5">
        <v>46093</v>
      </c>
      <c r="K167" s="24" t="s">
        <v>20</v>
      </c>
      <c r="L167" s="39">
        <f t="shared" si="2"/>
        <v>396</v>
      </c>
    </row>
    <row r="168" spans="1:12" ht="15.6" x14ac:dyDescent="0.3">
      <c r="A168" s="3">
        <v>1167</v>
      </c>
      <c r="B168" s="4" t="s">
        <v>48</v>
      </c>
      <c r="C168" s="4" t="s">
        <v>17</v>
      </c>
      <c r="D168" s="4" t="s">
        <v>13</v>
      </c>
      <c r="E168" s="4" t="s">
        <v>37</v>
      </c>
      <c r="F168" s="4">
        <v>20</v>
      </c>
      <c r="G168" s="4">
        <v>251</v>
      </c>
      <c r="H168" s="4">
        <v>5</v>
      </c>
      <c r="I168" s="5">
        <v>46160</v>
      </c>
      <c r="J168" s="5">
        <v>46170</v>
      </c>
      <c r="K168" s="24" t="s">
        <v>29</v>
      </c>
      <c r="L168" s="39">
        <f t="shared" si="2"/>
        <v>5020</v>
      </c>
    </row>
    <row r="169" spans="1:12" ht="15.6" x14ac:dyDescent="0.3">
      <c r="A169" s="3">
        <v>1168</v>
      </c>
      <c r="B169" s="4" t="s">
        <v>54</v>
      </c>
      <c r="C169" s="4" t="s">
        <v>12</v>
      </c>
      <c r="D169" s="4" t="s">
        <v>13</v>
      </c>
      <c r="E169" s="4" t="s">
        <v>37</v>
      </c>
      <c r="F169" s="4">
        <v>18</v>
      </c>
      <c r="G169" s="4">
        <v>335</v>
      </c>
      <c r="H169" s="4">
        <v>15</v>
      </c>
      <c r="I169" s="5">
        <v>46130</v>
      </c>
      <c r="J169" s="5">
        <v>46140</v>
      </c>
      <c r="K169" s="24" t="s">
        <v>29</v>
      </c>
      <c r="L169" s="39">
        <f t="shared" si="2"/>
        <v>6030</v>
      </c>
    </row>
    <row r="170" spans="1:12" ht="15.6" x14ac:dyDescent="0.3">
      <c r="A170" s="3">
        <v>1169</v>
      </c>
      <c r="B170" s="4" t="s">
        <v>47</v>
      </c>
      <c r="C170" s="4" t="s">
        <v>12</v>
      </c>
      <c r="D170" s="4" t="s">
        <v>18</v>
      </c>
      <c r="E170" s="4" t="s">
        <v>56</v>
      </c>
      <c r="F170" s="4">
        <v>12</v>
      </c>
      <c r="G170" s="4">
        <v>12104</v>
      </c>
      <c r="H170" s="4">
        <v>7</v>
      </c>
      <c r="I170" s="5">
        <v>46121</v>
      </c>
      <c r="J170" s="5">
        <v>46130</v>
      </c>
      <c r="K170" s="24" t="s">
        <v>24</v>
      </c>
      <c r="L170" s="39">
        <f t="shared" si="2"/>
        <v>145248</v>
      </c>
    </row>
    <row r="171" spans="1:12" ht="15.6" x14ac:dyDescent="0.3">
      <c r="A171" s="3">
        <v>1170</v>
      </c>
      <c r="B171" s="4" t="s">
        <v>49</v>
      </c>
      <c r="C171" s="4" t="s">
        <v>38</v>
      </c>
      <c r="D171" s="4" t="s">
        <v>13</v>
      </c>
      <c r="E171" s="4" t="s">
        <v>14</v>
      </c>
      <c r="F171" s="4">
        <v>6</v>
      </c>
      <c r="G171" s="4">
        <v>339</v>
      </c>
      <c r="H171" s="4">
        <v>12</v>
      </c>
      <c r="I171" s="5">
        <v>46105</v>
      </c>
      <c r="J171" s="5">
        <v>46106</v>
      </c>
      <c r="K171" s="24" t="s">
        <v>24</v>
      </c>
      <c r="L171" s="39">
        <f t="shared" si="2"/>
        <v>2034</v>
      </c>
    </row>
    <row r="172" spans="1:12" ht="15.6" x14ac:dyDescent="0.3">
      <c r="A172" s="3">
        <v>1171</v>
      </c>
      <c r="B172" s="4" t="s">
        <v>57</v>
      </c>
      <c r="C172" s="4" t="s">
        <v>25</v>
      </c>
      <c r="D172" s="4" t="s">
        <v>13</v>
      </c>
      <c r="E172" s="4" t="s">
        <v>50</v>
      </c>
      <c r="F172" s="4">
        <v>17</v>
      </c>
      <c r="G172" s="4">
        <v>147</v>
      </c>
      <c r="H172" s="4">
        <v>12</v>
      </c>
      <c r="I172" s="5">
        <v>46155</v>
      </c>
      <c r="J172" s="5">
        <v>46160</v>
      </c>
      <c r="K172" s="24" t="s">
        <v>20</v>
      </c>
      <c r="L172" s="39">
        <f t="shared" si="2"/>
        <v>2499</v>
      </c>
    </row>
    <row r="173" spans="1:12" ht="15.6" x14ac:dyDescent="0.3">
      <c r="A173" s="3">
        <v>1172</v>
      </c>
      <c r="B173" s="4" t="s">
        <v>16</v>
      </c>
      <c r="C173" s="4" t="s">
        <v>12</v>
      </c>
      <c r="D173" s="4" t="s">
        <v>34</v>
      </c>
      <c r="E173" s="4" t="s">
        <v>45</v>
      </c>
      <c r="F173" s="4">
        <v>13</v>
      </c>
      <c r="G173" s="4">
        <v>43163</v>
      </c>
      <c r="H173" s="4">
        <v>12</v>
      </c>
      <c r="I173" s="5">
        <v>46120</v>
      </c>
      <c r="J173" s="5">
        <v>46129</v>
      </c>
      <c r="K173" s="24" t="s">
        <v>24</v>
      </c>
      <c r="L173" s="39">
        <f t="shared" si="2"/>
        <v>561119</v>
      </c>
    </row>
    <row r="174" spans="1:12" ht="15.6" x14ac:dyDescent="0.3">
      <c r="A174" s="3">
        <v>1173</v>
      </c>
      <c r="B174" s="4" t="s">
        <v>40</v>
      </c>
      <c r="C174" s="4" t="s">
        <v>17</v>
      </c>
      <c r="D174" s="4" t="s">
        <v>13</v>
      </c>
      <c r="E174" s="4" t="s">
        <v>37</v>
      </c>
      <c r="F174" s="4">
        <v>15</v>
      </c>
      <c r="G174" s="4">
        <v>214</v>
      </c>
      <c r="H174" s="4">
        <v>10</v>
      </c>
      <c r="I174" s="5">
        <v>46050</v>
      </c>
      <c r="J174" s="5">
        <v>46060</v>
      </c>
      <c r="K174" s="24" t="s">
        <v>51</v>
      </c>
      <c r="L174" s="39">
        <f t="shared" si="2"/>
        <v>3210</v>
      </c>
    </row>
    <row r="175" spans="1:12" ht="15.6" x14ac:dyDescent="0.3">
      <c r="A175" s="3">
        <v>1174</v>
      </c>
      <c r="B175" s="4" t="s">
        <v>58</v>
      </c>
      <c r="C175" s="4" t="s">
        <v>38</v>
      </c>
      <c r="D175" s="4" t="s">
        <v>13</v>
      </c>
      <c r="E175" s="4" t="s">
        <v>14</v>
      </c>
      <c r="F175" s="4">
        <v>13</v>
      </c>
      <c r="G175" s="4">
        <v>155</v>
      </c>
      <c r="H175" s="4">
        <v>2</v>
      </c>
      <c r="I175" s="5">
        <v>46066</v>
      </c>
      <c r="J175" s="5">
        <v>46069</v>
      </c>
      <c r="K175" s="24" t="s">
        <v>24</v>
      </c>
      <c r="L175" s="39">
        <f t="shared" si="2"/>
        <v>2015</v>
      </c>
    </row>
    <row r="176" spans="1:12" ht="15.6" x14ac:dyDescent="0.3">
      <c r="A176" s="3">
        <v>1175</v>
      </c>
      <c r="B176" s="4" t="s">
        <v>26</v>
      </c>
      <c r="C176" s="4" t="s">
        <v>17</v>
      </c>
      <c r="D176" s="4" t="s">
        <v>34</v>
      </c>
      <c r="E176" s="4" t="s">
        <v>41</v>
      </c>
      <c r="F176" s="4">
        <v>10</v>
      </c>
      <c r="G176" s="4">
        <v>20339</v>
      </c>
      <c r="H176" s="4">
        <v>2</v>
      </c>
      <c r="I176" s="5">
        <v>46088</v>
      </c>
      <c r="J176" s="5">
        <v>46094</v>
      </c>
      <c r="K176" s="24" t="s">
        <v>20</v>
      </c>
      <c r="L176" s="39">
        <f t="shared" si="2"/>
        <v>203390</v>
      </c>
    </row>
    <row r="177" spans="1:12" ht="15.6" x14ac:dyDescent="0.3">
      <c r="A177" s="3">
        <v>1176</v>
      </c>
      <c r="B177" s="4" t="s">
        <v>58</v>
      </c>
      <c r="C177" s="4" t="s">
        <v>38</v>
      </c>
      <c r="D177" s="4" t="s">
        <v>34</v>
      </c>
      <c r="E177" s="4" t="s">
        <v>41</v>
      </c>
      <c r="F177" s="4">
        <v>17</v>
      </c>
      <c r="G177" s="4">
        <v>46937</v>
      </c>
      <c r="H177" s="4">
        <v>12</v>
      </c>
      <c r="I177" s="5">
        <v>46048</v>
      </c>
      <c r="J177" s="5">
        <v>46056</v>
      </c>
      <c r="K177" s="24" t="s">
        <v>29</v>
      </c>
      <c r="L177" s="39">
        <f t="shared" si="2"/>
        <v>797929</v>
      </c>
    </row>
    <row r="178" spans="1:12" ht="15.6" x14ac:dyDescent="0.3">
      <c r="A178" s="3">
        <v>1177</v>
      </c>
      <c r="B178" s="4" t="s">
        <v>29</v>
      </c>
      <c r="C178" s="4" t="s">
        <v>22</v>
      </c>
      <c r="D178" s="4" t="s">
        <v>18</v>
      </c>
      <c r="E178" s="4" t="s">
        <v>19</v>
      </c>
      <c r="F178" s="4">
        <v>14</v>
      </c>
      <c r="G178" s="4">
        <v>7501</v>
      </c>
      <c r="H178" s="4">
        <v>7</v>
      </c>
      <c r="I178" s="5">
        <v>46169</v>
      </c>
      <c r="J178" s="5">
        <v>46179</v>
      </c>
      <c r="K178" s="24" t="s">
        <v>20</v>
      </c>
      <c r="L178" s="39">
        <f t="shared" si="2"/>
        <v>105014</v>
      </c>
    </row>
    <row r="179" spans="1:12" ht="15.6" x14ac:dyDescent="0.3">
      <c r="A179" s="3">
        <v>1178</v>
      </c>
      <c r="B179" s="4" t="s">
        <v>57</v>
      </c>
      <c r="C179" s="4" t="s">
        <v>17</v>
      </c>
      <c r="D179" s="4" t="s">
        <v>13</v>
      </c>
      <c r="E179" s="4" t="s">
        <v>50</v>
      </c>
      <c r="F179" s="4">
        <v>5</v>
      </c>
      <c r="G179" s="4">
        <v>50</v>
      </c>
      <c r="H179" s="4">
        <v>0</v>
      </c>
      <c r="I179" s="5">
        <v>46111</v>
      </c>
      <c r="J179" s="5">
        <v>46117</v>
      </c>
      <c r="K179" s="24" t="s">
        <v>20</v>
      </c>
      <c r="L179" s="39">
        <f t="shared" si="2"/>
        <v>250</v>
      </c>
    </row>
    <row r="180" spans="1:12" ht="15.6" x14ac:dyDescent="0.3">
      <c r="A180" s="3">
        <v>1179</v>
      </c>
      <c r="B180" s="4" t="s">
        <v>47</v>
      </c>
      <c r="C180" s="4" t="s">
        <v>17</v>
      </c>
      <c r="D180" s="4" t="s">
        <v>34</v>
      </c>
      <c r="E180" s="4" t="s">
        <v>39</v>
      </c>
      <c r="F180" s="4">
        <v>6</v>
      </c>
      <c r="G180" s="4">
        <v>10400</v>
      </c>
      <c r="H180" s="4">
        <v>2</v>
      </c>
      <c r="I180" s="5">
        <v>46155</v>
      </c>
      <c r="J180" s="5">
        <v>46158</v>
      </c>
      <c r="K180" s="24" t="s">
        <v>15</v>
      </c>
      <c r="L180" s="39">
        <f t="shared" si="2"/>
        <v>62400</v>
      </c>
    </row>
    <row r="181" spans="1:12" ht="15.6" x14ac:dyDescent="0.3">
      <c r="A181" s="3">
        <v>1180</v>
      </c>
      <c r="B181" s="4" t="s">
        <v>40</v>
      </c>
      <c r="C181" s="4" t="s">
        <v>31</v>
      </c>
      <c r="D181" s="4" t="s">
        <v>18</v>
      </c>
      <c r="E181" s="4" t="s">
        <v>28</v>
      </c>
      <c r="F181" s="4">
        <v>2</v>
      </c>
      <c r="G181" s="4">
        <v>2076</v>
      </c>
      <c r="H181" s="4">
        <v>2</v>
      </c>
      <c r="I181" s="5">
        <v>46111</v>
      </c>
      <c r="J181" s="5">
        <v>46121</v>
      </c>
      <c r="K181" s="24" t="s">
        <v>29</v>
      </c>
      <c r="L181" s="39">
        <f t="shared" si="2"/>
        <v>4152</v>
      </c>
    </row>
    <row r="182" spans="1:12" ht="15.6" x14ac:dyDescent="0.3">
      <c r="A182" s="3">
        <v>1181</v>
      </c>
      <c r="B182" s="4" t="s">
        <v>58</v>
      </c>
      <c r="C182" s="4" t="s">
        <v>33</v>
      </c>
      <c r="D182" s="4" t="s">
        <v>13</v>
      </c>
      <c r="E182" s="4" t="s">
        <v>36</v>
      </c>
      <c r="F182" s="4">
        <v>4</v>
      </c>
      <c r="G182" s="4">
        <v>357</v>
      </c>
      <c r="H182" s="4">
        <v>2</v>
      </c>
      <c r="I182" s="5">
        <v>46033</v>
      </c>
      <c r="J182" s="5">
        <v>46035</v>
      </c>
      <c r="K182" s="24" t="s">
        <v>15</v>
      </c>
      <c r="L182" s="39">
        <f t="shared" si="2"/>
        <v>1428</v>
      </c>
    </row>
    <row r="183" spans="1:12" ht="15.6" x14ac:dyDescent="0.3">
      <c r="A183" s="3">
        <v>1182</v>
      </c>
      <c r="B183" s="4" t="s">
        <v>42</v>
      </c>
      <c r="C183" s="4" t="s">
        <v>12</v>
      </c>
      <c r="D183" s="4" t="s">
        <v>34</v>
      </c>
      <c r="E183" s="4" t="s">
        <v>39</v>
      </c>
      <c r="F183" s="4">
        <v>8</v>
      </c>
      <c r="G183" s="4">
        <v>66022</v>
      </c>
      <c r="H183" s="4">
        <v>12</v>
      </c>
      <c r="I183" s="5">
        <v>46108</v>
      </c>
      <c r="J183" s="5">
        <v>46114</v>
      </c>
      <c r="K183" s="24" t="s">
        <v>24</v>
      </c>
      <c r="L183" s="39">
        <f t="shared" si="2"/>
        <v>528176</v>
      </c>
    </row>
    <row r="184" spans="1:12" ht="15.6" x14ac:dyDescent="0.3">
      <c r="A184" s="3">
        <v>1183</v>
      </c>
      <c r="B184" s="4" t="s">
        <v>52</v>
      </c>
      <c r="C184" s="4" t="s">
        <v>43</v>
      </c>
      <c r="D184" s="4" t="s">
        <v>13</v>
      </c>
      <c r="E184" s="4" t="s">
        <v>14</v>
      </c>
      <c r="F184" s="4">
        <v>2</v>
      </c>
      <c r="G184" s="4">
        <v>309</v>
      </c>
      <c r="H184" s="4">
        <v>2</v>
      </c>
      <c r="I184" s="5">
        <v>46109</v>
      </c>
      <c r="J184" s="5">
        <v>46111</v>
      </c>
      <c r="K184" s="24" t="s">
        <v>20</v>
      </c>
      <c r="L184" s="39">
        <f t="shared" si="2"/>
        <v>618</v>
      </c>
    </row>
    <row r="185" spans="1:12" ht="15.6" x14ac:dyDescent="0.3">
      <c r="A185" s="3">
        <v>1184</v>
      </c>
      <c r="B185" s="4" t="s">
        <v>40</v>
      </c>
      <c r="C185" s="4" t="s">
        <v>31</v>
      </c>
      <c r="D185" s="4" t="s">
        <v>34</v>
      </c>
      <c r="E185" s="4" t="s">
        <v>39</v>
      </c>
      <c r="F185" s="4">
        <v>12</v>
      </c>
      <c r="G185" s="4">
        <v>50517</v>
      </c>
      <c r="H185" s="4">
        <v>15</v>
      </c>
      <c r="I185" s="5">
        <v>46145</v>
      </c>
      <c r="J185" s="5">
        <v>46153</v>
      </c>
      <c r="K185" s="24" t="s">
        <v>29</v>
      </c>
      <c r="L185" s="39">
        <f t="shared" si="2"/>
        <v>606204</v>
      </c>
    </row>
    <row r="186" spans="1:12" ht="15.6" x14ac:dyDescent="0.3">
      <c r="A186" s="3">
        <v>1185</v>
      </c>
      <c r="B186" s="4" t="s">
        <v>58</v>
      </c>
      <c r="C186" s="4" t="s">
        <v>22</v>
      </c>
      <c r="D186" s="4" t="s">
        <v>34</v>
      </c>
      <c r="E186" s="4" t="s">
        <v>60</v>
      </c>
      <c r="F186" s="4">
        <v>16</v>
      </c>
      <c r="G186" s="4">
        <v>15536</v>
      </c>
      <c r="H186" s="4">
        <v>2</v>
      </c>
      <c r="I186" s="5">
        <v>46153</v>
      </c>
      <c r="J186" s="5">
        <v>46156</v>
      </c>
      <c r="K186" s="24" t="s">
        <v>15</v>
      </c>
      <c r="L186" s="39">
        <f t="shared" si="2"/>
        <v>248576</v>
      </c>
    </row>
    <row r="187" spans="1:12" ht="15.6" x14ac:dyDescent="0.3">
      <c r="A187" s="3">
        <v>1186</v>
      </c>
      <c r="B187" s="4" t="s">
        <v>16</v>
      </c>
      <c r="C187" s="4" t="s">
        <v>25</v>
      </c>
      <c r="D187" s="4" t="s">
        <v>18</v>
      </c>
      <c r="E187" s="4" t="s">
        <v>44</v>
      </c>
      <c r="F187" s="4">
        <v>10</v>
      </c>
      <c r="G187" s="4">
        <v>14951</v>
      </c>
      <c r="H187" s="4">
        <v>2</v>
      </c>
      <c r="I187" s="5">
        <v>46188</v>
      </c>
      <c r="J187" s="5">
        <v>46196</v>
      </c>
      <c r="K187" s="24" t="s">
        <v>24</v>
      </c>
      <c r="L187" s="39">
        <f t="shared" si="2"/>
        <v>149510</v>
      </c>
    </row>
    <row r="188" spans="1:12" ht="15.6" x14ac:dyDescent="0.3">
      <c r="A188" s="3">
        <v>1187</v>
      </c>
      <c r="B188" s="4" t="s">
        <v>54</v>
      </c>
      <c r="C188" s="4" t="s">
        <v>22</v>
      </c>
      <c r="D188" s="4" t="s">
        <v>34</v>
      </c>
      <c r="E188" s="4" t="s">
        <v>45</v>
      </c>
      <c r="F188" s="4">
        <v>18</v>
      </c>
      <c r="G188" s="4">
        <v>68527</v>
      </c>
      <c r="H188" s="4">
        <v>12</v>
      </c>
      <c r="I188" s="5">
        <v>46178</v>
      </c>
      <c r="J188" s="5">
        <v>46184</v>
      </c>
      <c r="K188" s="24" t="s">
        <v>51</v>
      </c>
      <c r="L188" s="39">
        <f t="shared" si="2"/>
        <v>1233486</v>
      </c>
    </row>
    <row r="189" spans="1:12" ht="15.6" x14ac:dyDescent="0.3">
      <c r="A189" s="3">
        <v>1188</v>
      </c>
      <c r="B189" s="4" t="s">
        <v>29</v>
      </c>
      <c r="C189" s="4" t="s">
        <v>22</v>
      </c>
      <c r="D189" s="4" t="s">
        <v>18</v>
      </c>
      <c r="E189" s="4" t="s">
        <v>56</v>
      </c>
      <c r="F189" s="4">
        <v>6</v>
      </c>
      <c r="G189" s="4">
        <v>10368</v>
      </c>
      <c r="H189" s="4">
        <v>7</v>
      </c>
      <c r="I189" s="5">
        <v>46137</v>
      </c>
      <c r="J189" s="5">
        <v>46142</v>
      </c>
      <c r="K189" s="24" t="s">
        <v>15</v>
      </c>
      <c r="L189" s="39">
        <f t="shared" si="2"/>
        <v>62208</v>
      </c>
    </row>
    <row r="190" spans="1:12" ht="15.6" x14ac:dyDescent="0.3">
      <c r="A190" s="3">
        <v>1189</v>
      </c>
      <c r="B190" s="4" t="s">
        <v>49</v>
      </c>
      <c r="C190" s="4" t="s">
        <v>31</v>
      </c>
      <c r="D190" s="4" t="s">
        <v>18</v>
      </c>
      <c r="E190" s="4" t="s">
        <v>56</v>
      </c>
      <c r="F190" s="4">
        <v>12</v>
      </c>
      <c r="G190" s="4">
        <v>8327</v>
      </c>
      <c r="H190" s="4">
        <v>10</v>
      </c>
      <c r="I190" s="5">
        <v>46184</v>
      </c>
      <c r="J190" s="5">
        <v>46185</v>
      </c>
      <c r="K190" s="24" t="s">
        <v>29</v>
      </c>
      <c r="L190" s="39">
        <f t="shared" si="2"/>
        <v>99924</v>
      </c>
    </row>
    <row r="191" spans="1:12" ht="15.6" x14ac:dyDescent="0.3">
      <c r="A191" s="3">
        <v>1190</v>
      </c>
      <c r="B191" s="4" t="s">
        <v>57</v>
      </c>
      <c r="C191" s="4" t="s">
        <v>17</v>
      </c>
      <c r="D191" s="4" t="s">
        <v>18</v>
      </c>
      <c r="E191" s="4" t="s">
        <v>28</v>
      </c>
      <c r="F191" s="4">
        <v>4</v>
      </c>
      <c r="G191" s="4">
        <v>10154</v>
      </c>
      <c r="H191" s="4">
        <v>7</v>
      </c>
      <c r="I191" s="5">
        <v>46052</v>
      </c>
      <c r="J191" s="5">
        <v>46062</v>
      </c>
      <c r="K191" s="24" t="s">
        <v>20</v>
      </c>
      <c r="L191" s="39">
        <f t="shared" si="2"/>
        <v>40616</v>
      </c>
    </row>
    <row r="192" spans="1:12" ht="15.6" x14ac:dyDescent="0.3">
      <c r="A192" s="3">
        <v>1191</v>
      </c>
      <c r="B192" s="4" t="s">
        <v>52</v>
      </c>
      <c r="C192" s="4" t="s">
        <v>33</v>
      </c>
      <c r="D192" s="4" t="s">
        <v>18</v>
      </c>
      <c r="E192" s="4" t="s">
        <v>56</v>
      </c>
      <c r="F192" s="4">
        <v>9</v>
      </c>
      <c r="G192" s="4">
        <v>8631</v>
      </c>
      <c r="H192" s="4">
        <v>10</v>
      </c>
      <c r="I192" s="5">
        <v>46149</v>
      </c>
      <c r="J192" s="5">
        <v>46156</v>
      </c>
      <c r="K192" s="24" t="s">
        <v>20</v>
      </c>
      <c r="L192" s="39">
        <f t="shared" si="2"/>
        <v>77679</v>
      </c>
    </row>
    <row r="193" spans="1:12" ht="15.6" x14ac:dyDescent="0.3">
      <c r="A193" s="3">
        <v>1192</v>
      </c>
      <c r="B193" s="4" t="s">
        <v>21</v>
      </c>
      <c r="C193" s="4" t="s">
        <v>33</v>
      </c>
      <c r="D193" s="4" t="s">
        <v>13</v>
      </c>
      <c r="E193" s="4" t="s">
        <v>53</v>
      </c>
      <c r="F193" s="4">
        <v>18</v>
      </c>
      <c r="G193" s="4">
        <v>49</v>
      </c>
      <c r="H193" s="4">
        <v>12</v>
      </c>
      <c r="I193" s="5">
        <v>46089</v>
      </c>
      <c r="J193" s="5">
        <v>46095</v>
      </c>
      <c r="K193" s="24" t="s">
        <v>24</v>
      </c>
      <c r="L193" s="39">
        <f t="shared" si="2"/>
        <v>882</v>
      </c>
    </row>
    <row r="194" spans="1:12" ht="15.6" x14ac:dyDescent="0.3">
      <c r="A194" s="3">
        <v>1193</v>
      </c>
      <c r="B194" s="4" t="s">
        <v>57</v>
      </c>
      <c r="C194" s="4" t="s">
        <v>12</v>
      </c>
      <c r="D194" s="4" t="s">
        <v>18</v>
      </c>
      <c r="E194" s="4" t="s">
        <v>23</v>
      </c>
      <c r="F194" s="4">
        <v>19</v>
      </c>
      <c r="G194" s="4">
        <v>2699</v>
      </c>
      <c r="H194" s="4">
        <v>7</v>
      </c>
      <c r="I194" s="5">
        <v>46110</v>
      </c>
      <c r="J194" s="5">
        <v>46112</v>
      </c>
      <c r="K194" s="24" t="s">
        <v>29</v>
      </c>
      <c r="L194" s="39">
        <f t="shared" si="2"/>
        <v>51281</v>
      </c>
    </row>
    <row r="195" spans="1:12" ht="15.6" x14ac:dyDescent="0.3">
      <c r="A195" s="3">
        <v>1194</v>
      </c>
      <c r="B195" s="4" t="s">
        <v>57</v>
      </c>
      <c r="C195" s="4" t="s">
        <v>43</v>
      </c>
      <c r="D195" s="4" t="s">
        <v>18</v>
      </c>
      <c r="E195" s="4" t="s">
        <v>28</v>
      </c>
      <c r="F195" s="4">
        <v>13</v>
      </c>
      <c r="G195" s="4">
        <v>12856</v>
      </c>
      <c r="H195" s="4">
        <v>15</v>
      </c>
      <c r="I195" s="5">
        <v>46129</v>
      </c>
      <c r="J195" s="5">
        <v>46133</v>
      </c>
      <c r="K195" s="24" t="s">
        <v>51</v>
      </c>
      <c r="L195" s="39">
        <f t="shared" ref="L195:L258" si="3">(F195*G195)</f>
        <v>167128</v>
      </c>
    </row>
    <row r="196" spans="1:12" ht="15.6" x14ac:dyDescent="0.3">
      <c r="A196" s="3">
        <v>1195</v>
      </c>
      <c r="B196" s="4" t="s">
        <v>59</v>
      </c>
      <c r="C196" s="4" t="s">
        <v>17</v>
      </c>
      <c r="D196" s="4" t="s">
        <v>13</v>
      </c>
      <c r="E196" s="4" t="s">
        <v>50</v>
      </c>
      <c r="F196" s="4">
        <v>19</v>
      </c>
      <c r="G196" s="4">
        <v>313</v>
      </c>
      <c r="H196" s="4">
        <v>2</v>
      </c>
      <c r="I196" s="5">
        <v>46198</v>
      </c>
      <c r="J196" s="5">
        <v>46206</v>
      </c>
      <c r="K196" s="24" t="s">
        <v>51</v>
      </c>
      <c r="L196" s="39">
        <f t="shared" si="3"/>
        <v>5947</v>
      </c>
    </row>
    <row r="197" spans="1:12" ht="15.6" x14ac:dyDescent="0.3">
      <c r="A197" s="3">
        <v>1196</v>
      </c>
      <c r="B197" s="4" t="s">
        <v>48</v>
      </c>
      <c r="C197" s="4" t="s">
        <v>22</v>
      </c>
      <c r="D197" s="4" t="s">
        <v>34</v>
      </c>
      <c r="E197" s="4" t="s">
        <v>35</v>
      </c>
      <c r="F197" s="4">
        <v>20</v>
      </c>
      <c r="G197" s="4">
        <v>3172</v>
      </c>
      <c r="H197" s="4">
        <v>5</v>
      </c>
      <c r="I197" s="5">
        <v>46155</v>
      </c>
      <c r="J197" s="5">
        <v>46159</v>
      </c>
      <c r="K197" s="24" t="s">
        <v>20</v>
      </c>
      <c r="L197" s="39">
        <f t="shared" si="3"/>
        <v>63440</v>
      </c>
    </row>
    <row r="198" spans="1:12" ht="15.6" x14ac:dyDescent="0.3">
      <c r="A198" s="3">
        <v>1197</v>
      </c>
      <c r="B198" s="4" t="s">
        <v>52</v>
      </c>
      <c r="C198" s="4" t="s">
        <v>31</v>
      </c>
      <c r="D198" s="4" t="s">
        <v>34</v>
      </c>
      <c r="E198" s="4" t="s">
        <v>35</v>
      </c>
      <c r="F198" s="4">
        <v>5</v>
      </c>
      <c r="G198" s="4">
        <v>45352</v>
      </c>
      <c r="H198" s="4">
        <v>12</v>
      </c>
      <c r="I198" s="5">
        <v>46045</v>
      </c>
      <c r="J198" s="5">
        <v>46048</v>
      </c>
      <c r="K198" s="24" t="s">
        <v>15</v>
      </c>
      <c r="L198" s="39">
        <f t="shared" si="3"/>
        <v>226760</v>
      </c>
    </row>
    <row r="199" spans="1:12" ht="15.6" x14ac:dyDescent="0.3">
      <c r="A199" s="3">
        <v>1198</v>
      </c>
      <c r="B199" s="4" t="s">
        <v>58</v>
      </c>
      <c r="C199" s="4" t="s">
        <v>12</v>
      </c>
      <c r="D199" s="4" t="s">
        <v>13</v>
      </c>
      <c r="E199" s="4" t="s">
        <v>14</v>
      </c>
      <c r="F199" s="4">
        <v>12</v>
      </c>
      <c r="G199" s="4">
        <v>491</v>
      </c>
      <c r="H199" s="4">
        <v>2</v>
      </c>
      <c r="I199" s="5">
        <v>46106</v>
      </c>
      <c r="J199" s="5">
        <v>46109</v>
      </c>
      <c r="K199" s="24" t="s">
        <v>51</v>
      </c>
      <c r="L199" s="39">
        <f t="shared" si="3"/>
        <v>5892</v>
      </c>
    </row>
    <row r="200" spans="1:12" ht="15.6" x14ac:dyDescent="0.3">
      <c r="A200" s="3">
        <v>1199</v>
      </c>
      <c r="B200" s="4" t="s">
        <v>11</v>
      </c>
      <c r="C200" s="4" t="s">
        <v>25</v>
      </c>
      <c r="D200" s="4" t="s">
        <v>34</v>
      </c>
      <c r="E200" s="4" t="s">
        <v>45</v>
      </c>
      <c r="F200" s="4">
        <v>2</v>
      </c>
      <c r="G200" s="4">
        <v>4375</v>
      </c>
      <c r="H200" s="4">
        <v>7</v>
      </c>
      <c r="I200" s="5">
        <v>46178</v>
      </c>
      <c r="J200" s="5">
        <v>46180</v>
      </c>
      <c r="K200" s="24" t="s">
        <v>24</v>
      </c>
      <c r="L200" s="39">
        <f t="shared" si="3"/>
        <v>8750</v>
      </c>
    </row>
    <row r="201" spans="1:12" ht="15.6" x14ac:dyDescent="0.3">
      <c r="A201" s="3">
        <v>1200</v>
      </c>
      <c r="B201" s="4" t="s">
        <v>29</v>
      </c>
      <c r="C201" s="4" t="s">
        <v>31</v>
      </c>
      <c r="D201" s="4" t="s">
        <v>34</v>
      </c>
      <c r="E201" s="4" t="s">
        <v>45</v>
      </c>
      <c r="F201" s="4">
        <v>13</v>
      </c>
      <c r="G201" s="4">
        <v>69422</v>
      </c>
      <c r="H201" s="4">
        <v>0</v>
      </c>
      <c r="I201" s="5">
        <v>46134</v>
      </c>
      <c r="J201" s="5">
        <v>46143</v>
      </c>
      <c r="K201" s="24" t="s">
        <v>29</v>
      </c>
      <c r="L201" s="39">
        <f t="shared" si="3"/>
        <v>902486</v>
      </c>
    </row>
    <row r="202" spans="1:12" ht="15.6" x14ac:dyDescent="0.3">
      <c r="A202" s="3">
        <v>1201</v>
      </c>
      <c r="B202" s="4" t="s">
        <v>54</v>
      </c>
      <c r="C202" s="4" t="s">
        <v>31</v>
      </c>
      <c r="D202" s="4" t="s">
        <v>13</v>
      </c>
      <c r="E202" s="4" t="s">
        <v>53</v>
      </c>
      <c r="F202" s="4">
        <v>18</v>
      </c>
      <c r="G202" s="4">
        <v>139</v>
      </c>
      <c r="H202" s="4">
        <v>12</v>
      </c>
      <c r="I202" s="5">
        <v>46075</v>
      </c>
      <c r="J202" s="5">
        <v>46076</v>
      </c>
      <c r="K202" s="24" t="s">
        <v>20</v>
      </c>
      <c r="L202" s="39">
        <f t="shared" si="3"/>
        <v>2502</v>
      </c>
    </row>
    <row r="203" spans="1:12" ht="15.6" x14ac:dyDescent="0.3">
      <c r="A203" s="3">
        <v>1202</v>
      </c>
      <c r="B203" s="4" t="s">
        <v>57</v>
      </c>
      <c r="C203" s="4" t="s">
        <v>22</v>
      </c>
      <c r="D203" s="4" t="s">
        <v>34</v>
      </c>
      <c r="E203" s="4" t="s">
        <v>35</v>
      </c>
      <c r="F203" s="4">
        <v>2</v>
      </c>
      <c r="G203" s="4">
        <v>20312</v>
      </c>
      <c r="H203" s="4">
        <v>12</v>
      </c>
      <c r="I203" s="5">
        <v>46082</v>
      </c>
      <c r="J203" s="5">
        <v>46091</v>
      </c>
      <c r="K203" s="24" t="s">
        <v>15</v>
      </c>
      <c r="L203" s="39">
        <f t="shared" si="3"/>
        <v>40624</v>
      </c>
    </row>
    <row r="204" spans="1:12" ht="15.6" x14ac:dyDescent="0.3">
      <c r="A204" s="3">
        <v>1203</v>
      </c>
      <c r="B204" s="4" t="s">
        <v>40</v>
      </c>
      <c r="C204" s="4" t="s">
        <v>22</v>
      </c>
      <c r="D204" s="4" t="s">
        <v>18</v>
      </c>
      <c r="E204" s="4" t="s">
        <v>23</v>
      </c>
      <c r="F204" s="4">
        <v>17</v>
      </c>
      <c r="G204" s="4">
        <v>6695</v>
      </c>
      <c r="H204" s="4">
        <v>2</v>
      </c>
      <c r="I204" s="5">
        <v>46119</v>
      </c>
      <c r="J204" s="5">
        <v>46122</v>
      </c>
      <c r="K204" s="24" t="s">
        <v>51</v>
      </c>
      <c r="L204" s="39">
        <f t="shared" si="3"/>
        <v>113815</v>
      </c>
    </row>
    <row r="205" spans="1:12" ht="15.6" x14ac:dyDescent="0.3">
      <c r="A205" s="3">
        <v>1204</v>
      </c>
      <c r="B205" s="4" t="s">
        <v>16</v>
      </c>
      <c r="C205" s="4" t="s">
        <v>31</v>
      </c>
      <c r="D205" s="4" t="s">
        <v>13</v>
      </c>
      <c r="E205" s="4" t="s">
        <v>37</v>
      </c>
      <c r="F205" s="4">
        <v>13</v>
      </c>
      <c r="G205" s="4">
        <v>416</v>
      </c>
      <c r="H205" s="4">
        <v>10</v>
      </c>
      <c r="I205" s="5">
        <v>46123</v>
      </c>
      <c r="J205" s="5">
        <v>46132</v>
      </c>
      <c r="K205" s="24" t="s">
        <v>20</v>
      </c>
      <c r="L205" s="39">
        <f t="shared" si="3"/>
        <v>5408</v>
      </c>
    </row>
    <row r="206" spans="1:12" ht="15.6" x14ac:dyDescent="0.3">
      <c r="A206" s="3">
        <v>1205</v>
      </c>
      <c r="B206" s="4" t="s">
        <v>21</v>
      </c>
      <c r="C206" s="4" t="s">
        <v>38</v>
      </c>
      <c r="D206" s="4" t="s">
        <v>13</v>
      </c>
      <c r="E206" s="4" t="s">
        <v>36</v>
      </c>
      <c r="F206" s="4">
        <v>1</v>
      </c>
      <c r="G206" s="4">
        <v>112</v>
      </c>
      <c r="H206" s="4">
        <v>7</v>
      </c>
      <c r="I206" s="5">
        <v>46033</v>
      </c>
      <c r="J206" s="5">
        <v>46040</v>
      </c>
      <c r="K206" s="24" t="s">
        <v>51</v>
      </c>
      <c r="L206" s="39">
        <f t="shared" si="3"/>
        <v>112</v>
      </c>
    </row>
    <row r="207" spans="1:12" ht="15.6" x14ac:dyDescent="0.3">
      <c r="A207" s="3">
        <v>1206</v>
      </c>
      <c r="B207" s="4" t="s">
        <v>55</v>
      </c>
      <c r="C207" s="4" t="s">
        <v>33</v>
      </c>
      <c r="D207" s="4" t="s">
        <v>13</v>
      </c>
      <c r="E207" s="4" t="s">
        <v>14</v>
      </c>
      <c r="F207" s="4">
        <v>9</v>
      </c>
      <c r="G207" s="4">
        <v>60</v>
      </c>
      <c r="H207" s="4">
        <v>0</v>
      </c>
      <c r="I207" s="5">
        <v>46166</v>
      </c>
      <c r="J207" s="5">
        <v>46174</v>
      </c>
      <c r="K207" s="24" t="s">
        <v>15</v>
      </c>
      <c r="L207" s="39">
        <f t="shared" si="3"/>
        <v>540</v>
      </c>
    </row>
    <row r="208" spans="1:12" ht="15.6" x14ac:dyDescent="0.3">
      <c r="A208" s="3">
        <v>1207</v>
      </c>
      <c r="B208" s="4" t="s">
        <v>55</v>
      </c>
      <c r="C208" s="4" t="s">
        <v>25</v>
      </c>
      <c r="D208" s="4" t="s">
        <v>13</v>
      </c>
      <c r="E208" s="4" t="s">
        <v>53</v>
      </c>
      <c r="F208" s="4">
        <v>7</v>
      </c>
      <c r="G208" s="4">
        <v>244</v>
      </c>
      <c r="H208" s="4">
        <v>2</v>
      </c>
      <c r="I208" s="5">
        <v>46164</v>
      </c>
      <c r="J208" s="5">
        <v>46173</v>
      </c>
      <c r="K208" s="24" t="s">
        <v>24</v>
      </c>
      <c r="L208" s="39">
        <f t="shared" si="3"/>
        <v>1708</v>
      </c>
    </row>
    <row r="209" spans="1:12" ht="15.6" x14ac:dyDescent="0.3">
      <c r="A209" s="3">
        <v>1208</v>
      </c>
      <c r="B209" s="4" t="s">
        <v>54</v>
      </c>
      <c r="C209" s="4" t="s">
        <v>43</v>
      </c>
      <c r="D209" s="4" t="s">
        <v>18</v>
      </c>
      <c r="E209" s="4" t="s">
        <v>44</v>
      </c>
      <c r="F209" s="4">
        <v>6</v>
      </c>
      <c r="G209" s="4">
        <v>7627</v>
      </c>
      <c r="H209" s="4">
        <v>10</v>
      </c>
      <c r="I209" s="5">
        <v>46042</v>
      </c>
      <c r="J209" s="5">
        <v>46047</v>
      </c>
      <c r="K209" s="24" t="s">
        <v>20</v>
      </c>
      <c r="L209" s="39">
        <f t="shared" si="3"/>
        <v>45762</v>
      </c>
    </row>
    <row r="210" spans="1:12" ht="15.6" x14ac:dyDescent="0.3">
      <c r="A210" s="3">
        <v>1209</v>
      </c>
      <c r="B210" s="4" t="s">
        <v>48</v>
      </c>
      <c r="C210" s="4" t="s">
        <v>38</v>
      </c>
      <c r="D210" s="4" t="s">
        <v>34</v>
      </c>
      <c r="E210" s="4" t="s">
        <v>35</v>
      </c>
      <c r="F210" s="4">
        <v>19</v>
      </c>
      <c r="G210" s="4">
        <v>20284</v>
      </c>
      <c r="H210" s="4">
        <v>10</v>
      </c>
      <c r="I210" s="5">
        <v>46103</v>
      </c>
      <c r="J210" s="5">
        <v>46110</v>
      </c>
      <c r="K210" s="24" t="s">
        <v>20</v>
      </c>
      <c r="L210" s="39">
        <f t="shared" si="3"/>
        <v>385396</v>
      </c>
    </row>
    <row r="211" spans="1:12" ht="15.6" x14ac:dyDescent="0.3">
      <c r="A211" s="3">
        <v>1210</v>
      </c>
      <c r="B211" s="4" t="s">
        <v>30</v>
      </c>
      <c r="C211" s="4" t="s">
        <v>31</v>
      </c>
      <c r="D211" s="4" t="s">
        <v>13</v>
      </c>
      <c r="E211" s="4" t="s">
        <v>53</v>
      </c>
      <c r="F211" s="4">
        <v>10</v>
      </c>
      <c r="G211" s="4">
        <v>349</v>
      </c>
      <c r="H211" s="4">
        <v>0</v>
      </c>
      <c r="I211" s="5">
        <v>46052</v>
      </c>
      <c r="J211" s="5">
        <v>46060</v>
      </c>
      <c r="K211" s="24" t="s">
        <v>29</v>
      </c>
      <c r="L211" s="39">
        <f t="shared" si="3"/>
        <v>3490</v>
      </c>
    </row>
    <row r="212" spans="1:12" ht="15.6" x14ac:dyDescent="0.3">
      <c r="A212" s="3">
        <v>1211</v>
      </c>
      <c r="B212" s="4" t="s">
        <v>48</v>
      </c>
      <c r="C212" s="4" t="s">
        <v>17</v>
      </c>
      <c r="D212" s="4" t="s">
        <v>34</v>
      </c>
      <c r="E212" s="4" t="s">
        <v>35</v>
      </c>
      <c r="F212" s="4">
        <v>3</v>
      </c>
      <c r="G212" s="4">
        <v>5962</v>
      </c>
      <c r="H212" s="4">
        <v>7</v>
      </c>
      <c r="I212" s="5">
        <v>46175</v>
      </c>
      <c r="J212" s="5">
        <v>46183</v>
      </c>
      <c r="K212" s="24" t="s">
        <v>15</v>
      </c>
      <c r="L212" s="39">
        <f t="shared" si="3"/>
        <v>17886</v>
      </c>
    </row>
    <row r="213" spans="1:12" ht="15.6" x14ac:dyDescent="0.3">
      <c r="A213" s="3">
        <v>1212</v>
      </c>
      <c r="B213" s="4" t="s">
        <v>59</v>
      </c>
      <c r="C213" s="4" t="s">
        <v>25</v>
      </c>
      <c r="D213" s="4" t="s">
        <v>34</v>
      </c>
      <c r="E213" s="4" t="s">
        <v>60</v>
      </c>
      <c r="F213" s="4">
        <v>10</v>
      </c>
      <c r="G213" s="4">
        <v>34380</v>
      </c>
      <c r="H213" s="4">
        <v>7</v>
      </c>
      <c r="I213" s="5">
        <v>46194</v>
      </c>
      <c r="J213" s="5">
        <v>46195</v>
      </c>
      <c r="K213" s="24" t="s">
        <v>29</v>
      </c>
      <c r="L213" s="39">
        <f t="shared" si="3"/>
        <v>343800</v>
      </c>
    </row>
    <row r="214" spans="1:12" ht="15.6" x14ac:dyDescent="0.3">
      <c r="A214" s="3">
        <v>1213</v>
      </c>
      <c r="B214" s="4" t="s">
        <v>32</v>
      </c>
      <c r="C214" s="4" t="s">
        <v>38</v>
      </c>
      <c r="D214" s="4" t="s">
        <v>34</v>
      </c>
      <c r="E214" s="4" t="s">
        <v>45</v>
      </c>
      <c r="F214" s="4">
        <v>16</v>
      </c>
      <c r="G214" s="4">
        <v>27741</v>
      </c>
      <c r="H214" s="4">
        <v>12</v>
      </c>
      <c r="I214" s="5">
        <v>46116</v>
      </c>
      <c r="J214" s="5">
        <v>46119</v>
      </c>
      <c r="K214" s="24" t="s">
        <v>15</v>
      </c>
      <c r="L214" s="39">
        <f t="shared" si="3"/>
        <v>443856</v>
      </c>
    </row>
    <row r="215" spans="1:12" ht="15.6" x14ac:dyDescent="0.3">
      <c r="A215" s="3">
        <v>1214</v>
      </c>
      <c r="B215" s="4" t="s">
        <v>42</v>
      </c>
      <c r="C215" s="4" t="s">
        <v>25</v>
      </c>
      <c r="D215" s="4" t="s">
        <v>18</v>
      </c>
      <c r="E215" s="4" t="s">
        <v>28</v>
      </c>
      <c r="F215" s="4">
        <v>19</v>
      </c>
      <c r="G215" s="4">
        <v>13832</v>
      </c>
      <c r="H215" s="4">
        <v>0</v>
      </c>
      <c r="I215" s="5">
        <v>46140</v>
      </c>
      <c r="J215" s="5">
        <v>46145</v>
      </c>
      <c r="K215" s="24" t="s">
        <v>51</v>
      </c>
      <c r="L215" s="39">
        <f t="shared" si="3"/>
        <v>262808</v>
      </c>
    </row>
    <row r="216" spans="1:12" ht="15.6" x14ac:dyDescent="0.3">
      <c r="A216" s="3">
        <v>1215</v>
      </c>
      <c r="B216" s="4" t="s">
        <v>27</v>
      </c>
      <c r="C216" s="4" t="s">
        <v>12</v>
      </c>
      <c r="D216" s="4" t="s">
        <v>18</v>
      </c>
      <c r="E216" s="4" t="s">
        <v>28</v>
      </c>
      <c r="F216" s="4">
        <v>6</v>
      </c>
      <c r="G216" s="4">
        <v>1254</v>
      </c>
      <c r="H216" s="4">
        <v>0</v>
      </c>
      <c r="I216" s="5">
        <v>46131</v>
      </c>
      <c r="J216" s="5">
        <v>46136</v>
      </c>
      <c r="K216" s="24" t="s">
        <v>29</v>
      </c>
      <c r="L216" s="39">
        <f t="shared" si="3"/>
        <v>7524</v>
      </c>
    </row>
    <row r="217" spans="1:12" ht="15.6" x14ac:dyDescent="0.3">
      <c r="A217" s="3">
        <v>1216</v>
      </c>
      <c r="B217" s="4" t="s">
        <v>40</v>
      </c>
      <c r="C217" s="4" t="s">
        <v>22</v>
      </c>
      <c r="D217" s="4" t="s">
        <v>34</v>
      </c>
      <c r="E217" s="4" t="s">
        <v>45</v>
      </c>
      <c r="F217" s="4">
        <v>10</v>
      </c>
      <c r="G217" s="4">
        <v>56709</v>
      </c>
      <c r="H217" s="4">
        <v>15</v>
      </c>
      <c r="I217" s="5">
        <v>46135</v>
      </c>
      <c r="J217" s="5">
        <v>46139</v>
      </c>
      <c r="K217" s="24" t="s">
        <v>29</v>
      </c>
      <c r="L217" s="39">
        <f t="shared" si="3"/>
        <v>567090</v>
      </c>
    </row>
    <row r="218" spans="1:12" ht="15.6" x14ac:dyDescent="0.3">
      <c r="A218" s="3">
        <v>1217</v>
      </c>
      <c r="B218" s="4" t="s">
        <v>30</v>
      </c>
      <c r="C218" s="4" t="s">
        <v>22</v>
      </c>
      <c r="D218" s="4" t="s">
        <v>13</v>
      </c>
      <c r="E218" s="4" t="s">
        <v>50</v>
      </c>
      <c r="F218" s="4">
        <v>18</v>
      </c>
      <c r="G218" s="4">
        <v>60</v>
      </c>
      <c r="H218" s="4">
        <v>0</v>
      </c>
      <c r="I218" s="5">
        <v>46171</v>
      </c>
      <c r="J218" s="5">
        <v>46172</v>
      </c>
      <c r="K218" s="24" t="s">
        <v>29</v>
      </c>
      <c r="L218" s="39">
        <f t="shared" si="3"/>
        <v>1080</v>
      </c>
    </row>
    <row r="219" spans="1:12" ht="15.6" x14ac:dyDescent="0.3">
      <c r="A219" s="3">
        <v>1218</v>
      </c>
      <c r="B219" s="4" t="s">
        <v>55</v>
      </c>
      <c r="C219" s="4" t="s">
        <v>38</v>
      </c>
      <c r="D219" s="4" t="s">
        <v>13</v>
      </c>
      <c r="E219" s="4" t="s">
        <v>14</v>
      </c>
      <c r="F219" s="4">
        <v>1</v>
      </c>
      <c r="G219" s="4">
        <v>134</v>
      </c>
      <c r="H219" s="4">
        <v>10</v>
      </c>
      <c r="I219" s="5">
        <v>46143</v>
      </c>
      <c r="J219" s="5">
        <v>46151</v>
      </c>
      <c r="K219" s="24" t="s">
        <v>51</v>
      </c>
      <c r="L219" s="39">
        <f t="shared" si="3"/>
        <v>134</v>
      </c>
    </row>
    <row r="220" spans="1:12" ht="15.6" x14ac:dyDescent="0.3">
      <c r="A220" s="3">
        <v>1219</v>
      </c>
      <c r="B220" s="4" t="s">
        <v>46</v>
      </c>
      <c r="C220" s="4" t="s">
        <v>22</v>
      </c>
      <c r="D220" s="4" t="s">
        <v>13</v>
      </c>
      <c r="E220" s="4" t="s">
        <v>14</v>
      </c>
      <c r="F220" s="4">
        <v>4</v>
      </c>
      <c r="G220" s="4">
        <v>117</v>
      </c>
      <c r="H220" s="4">
        <v>15</v>
      </c>
      <c r="I220" s="5">
        <v>46202</v>
      </c>
      <c r="J220" s="5">
        <v>46206</v>
      </c>
      <c r="K220" s="24" t="s">
        <v>29</v>
      </c>
      <c r="L220" s="39">
        <f t="shared" si="3"/>
        <v>468</v>
      </c>
    </row>
    <row r="221" spans="1:12" ht="15.6" x14ac:dyDescent="0.3">
      <c r="A221" s="3">
        <v>1220</v>
      </c>
      <c r="B221" s="4" t="s">
        <v>11</v>
      </c>
      <c r="C221" s="4" t="s">
        <v>25</v>
      </c>
      <c r="D221" s="4" t="s">
        <v>18</v>
      </c>
      <c r="E221" s="4" t="s">
        <v>56</v>
      </c>
      <c r="F221" s="4">
        <v>2</v>
      </c>
      <c r="G221" s="4">
        <v>8861</v>
      </c>
      <c r="H221" s="4">
        <v>2</v>
      </c>
      <c r="I221" s="5">
        <v>46170</v>
      </c>
      <c r="J221" s="5">
        <v>46174</v>
      </c>
      <c r="K221" s="24" t="s">
        <v>24</v>
      </c>
      <c r="L221" s="39">
        <f t="shared" si="3"/>
        <v>17722</v>
      </c>
    </row>
    <row r="222" spans="1:12" ht="15.6" x14ac:dyDescent="0.3">
      <c r="A222" s="3">
        <v>1221</v>
      </c>
      <c r="B222" s="4" t="s">
        <v>11</v>
      </c>
      <c r="C222" s="4" t="s">
        <v>31</v>
      </c>
      <c r="D222" s="4" t="s">
        <v>18</v>
      </c>
      <c r="E222" s="4" t="s">
        <v>56</v>
      </c>
      <c r="F222" s="4">
        <v>18</v>
      </c>
      <c r="G222" s="4">
        <v>2681</v>
      </c>
      <c r="H222" s="4">
        <v>10</v>
      </c>
      <c r="I222" s="5">
        <v>46122</v>
      </c>
      <c r="J222" s="5">
        <v>46125</v>
      </c>
      <c r="K222" s="24" t="s">
        <v>51</v>
      </c>
      <c r="L222" s="39">
        <f t="shared" si="3"/>
        <v>48258</v>
      </c>
    </row>
    <row r="223" spans="1:12" ht="15.6" x14ac:dyDescent="0.3">
      <c r="A223" s="3">
        <v>1222</v>
      </c>
      <c r="B223" s="4" t="s">
        <v>30</v>
      </c>
      <c r="C223" s="4" t="s">
        <v>33</v>
      </c>
      <c r="D223" s="4" t="s">
        <v>18</v>
      </c>
      <c r="E223" s="4" t="s">
        <v>23</v>
      </c>
      <c r="F223" s="4">
        <v>9</v>
      </c>
      <c r="G223" s="4">
        <v>2712</v>
      </c>
      <c r="H223" s="4">
        <v>12</v>
      </c>
      <c r="I223" s="5">
        <v>46154</v>
      </c>
      <c r="J223" s="5">
        <v>46163</v>
      </c>
      <c r="K223" s="24" t="s">
        <v>15</v>
      </c>
      <c r="L223" s="39">
        <f t="shared" si="3"/>
        <v>24408</v>
      </c>
    </row>
    <row r="224" spans="1:12" ht="15.6" x14ac:dyDescent="0.3">
      <c r="A224" s="3">
        <v>1223</v>
      </c>
      <c r="B224" s="4" t="s">
        <v>59</v>
      </c>
      <c r="C224" s="4" t="s">
        <v>17</v>
      </c>
      <c r="D224" s="4" t="s">
        <v>18</v>
      </c>
      <c r="E224" s="4" t="s">
        <v>23</v>
      </c>
      <c r="F224" s="4">
        <v>4</v>
      </c>
      <c r="G224" s="4">
        <v>2249</v>
      </c>
      <c r="H224" s="4">
        <v>7</v>
      </c>
      <c r="I224" s="5">
        <v>46077</v>
      </c>
      <c r="J224" s="5">
        <v>46084</v>
      </c>
      <c r="K224" s="24" t="s">
        <v>15</v>
      </c>
      <c r="L224" s="39">
        <f t="shared" si="3"/>
        <v>8996</v>
      </c>
    </row>
    <row r="225" spans="1:12" ht="15.6" x14ac:dyDescent="0.3">
      <c r="A225" s="3">
        <v>1224</v>
      </c>
      <c r="B225" s="4" t="s">
        <v>30</v>
      </c>
      <c r="C225" s="4" t="s">
        <v>38</v>
      </c>
      <c r="D225" s="4" t="s">
        <v>34</v>
      </c>
      <c r="E225" s="4" t="s">
        <v>45</v>
      </c>
      <c r="F225" s="4">
        <v>16</v>
      </c>
      <c r="G225" s="4">
        <v>18378</v>
      </c>
      <c r="H225" s="4">
        <v>10</v>
      </c>
      <c r="I225" s="5">
        <v>46045</v>
      </c>
      <c r="J225" s="5">
        <v>46052</v>
      </c>
      <c r="K225" s="24" t="s">
        <v>24</v>
      </c>
      <c r="L225" s="39">
        <f t="shared" si="3"/>
        <v>294048</v>
      </c>
    </row>
    <row r="226" spans="1:12" ht="15.6" x14ac:dyDescent="0.3">
      <c r="A226" s="3">
        <v>1225</v>
      </c>
      <c r="B226" s="4" t="s">
        <v>42</v>
      </c>
      <c r="C226" s="4" t="s">
        <v>31</v>
      </c>
      <c r="D226" s="4" t="s">
        <v>34</v>
      </c>
      <c r="E226" s="4" t="s">
        <v>35</v>
      </c>
      <c r="F226" s="4">
        <v>16</v>
      </c>
      <c r="G226" s="4">
        <v>32262</v>
      </c>
      <c r="H226" s="4">
        <v>12</v>
      </c>
      <c r="I226" s="5">
        <v>46125</v>
      </c>
      <c r="J226" s="5">
        <v>46126</v>
      </c>
      <c r="K226" s="24" t="s">
        <v>20</v>
      </c>
      <c r="L226" s="39">
        <f t="shared" si="3"/>
        <v>516192</v>
      </c>
    </row>
    <row r="227" spans="1:12" ht="15.6" x14ac:dyDescent="0.3">
      <c r="A227" s="3">
        <v>1226</v>
      </c>
      <c r="B227" s="4" t="s">
        <v>29</v>
      </c>
      <c r="C227" s="4" t="s">
        <v>31</v>
      </c>
      <c r="D227" s="4" t="s">
        <v>34</v>
      </c>
      <c r="E227" s="4" t="s">
        <v>41</v>
      </c>
      <c r="F227" s="4">
        <v>13</v>
      </c>
      <c r="G227" s="4">
        <v>21332</v>
      </c>
      <c r="H227" s="4">
        <v>0</v>
      </c>
      <c r="I227" s="5">
        <v>46044</v>
      </c>
      <c r="J227" s="5">
        <v>46048</v>
      </c>
      <c r="K227" s="24" t="s">
        <v>29</v>
      </c>
      <c r="L227" s="39">
        <f t="shared" si="3"/>
        <v>277316</v>
      </c>
    </row>
    <row r="228" spans="1:12" ht="15.6" x14ac:dyDescent="0.3">
      <c r="A228" s="3">
        <v>1227</v>
      </c>
      <c r="B228" s="4" t="s">
        <v>58</v>
      </c>
      <c r="C228" s="4" t="s">
        <v>22</v>
      </c>
      <c r="D228" s="4" t="s">
        <v>34</v>
      </c>
      <c r="E228" s="4" t="s">
        <v>45</v>
      </c>
      <c r="F228" s="4">
        <v>16</v>
      </c>
      <c r="G228" s="4">
        <v>1321</v>
      </c>
      <c r="H228" s="4">
        <v>12</v>
      </c>
      <c r="I228" s="5">
        <v>46113</v>
      </c>
      <c r="J228" s="5">
        <v>46116</v>
      </c>
      <c r="K228" s="24" t="s">
        <v>15</v>
      </c>
      <c r="L228" s="39">
        <f t="shared" si="3"/>
        <v>21136</v>
      </c>
    </row>
    <row r="229" spans="1:12" ht="15.6" x14ac:dyDescent="0.3">
      <c r="A229" s="3">
        <v>1228</v>
      </c>
      <c r="B229" s="4" t="s">
        <v>29</v>
      </c>
      <c r="C229" s="4" t="s">
        <v>25</v>
      </c>
      <c r="D229" s="4" t="s">
        <v>34</v>
      </c>
      <c r="E229" s="4" t="s">
        <v>45</v>
      </c>
      <c r="F229" s="4">
        <v>16</v>
      </c>
      <c r="G229" s="4">
        <v>17477</v>
      </c>
      <c r="H229" s="4">
        <v>10</v>
      </c>
      <c r="I229" s="5">
        <v>46041</v>
      </c>
      <c r="J229" s="5">
        <v>46043</v>
      </c>
      <c r="K229" s="24" t="s">
        <v>24</v>
      </c>
      <c r="L229" s="39">
        <f t="shared" si="3"/>
        <v>279632</v>
      </c>
    </row>
    <row r="230" spans="1:12" ht="15.6" x14ac:dyDescent="0.3">
      <c r="A230" s="3">
        <v>1229</v>
      </c>
      <c r="B230" s="4" t="s">
        <v>57</v>
      </c>
      <c r="C230" s="4" t="s">
        <v>12</v>
      </c>
      <c r="D230" s="4" t="s">
        <v>18</v>
      </c>
      <c r="E230" s="4" t="s">
        <v>56</v>
      </c>
      <c r="F230" s="4">
        <v>14</v>
      </c>
      <c r="G230" s="4">
        <v>5859</v>
      </c>
      <c r="H230" s="4">
        <v>12</v>
      </c>
      <c r="I230" s="5">
        <v>46027</v>
      </c>
      <c r="J230" s="5">
        <v>46036</v>
      </c>
      <c r="K230" s="24" t="s">
        <v>20</v>
      </c>
      <c r="L230" s="39">
        <f t="shared" si="3"/>
        <v>82026</v>
      </c>
    </row>
    <row r="231" spans="1:12" ht="15.6" x14ac:dyDescent="0.3">
      <c r="A231" s="3">
        <v>1230</v>
      </c>
      <c r="B231" s="4" t="s">
        <v>59</v>
      </c>
      <c r="C231" s="4" t="s">
        <v>33</v>
      </c>
      <c r="D231" s="4" t="s">
        <v>34</v>
      </c>
      <c r="E231" s="4" t="s">
        <v>60</v>
      </c>
      <c r="F231" s="4">
        <v>7</v>
      </c>
      <c r="G231" s="4">
        <v>2932</v>
      </c>
      <c r="H231" s="4">
        <v>7</v>
      </c>
      <c r="I231" s="5">
        <v>46050</v>
      </c>
      <c r="J231" s="5">
        <v>46059</v>
      </c>
      <c r="K231" s="24" t="s">
        <v>24</v>
      </c>
      <c r="L231" s="39">
        <f t="shared" si="3"/>
        <v>20524</v>
      </c>
    </row>
    <row r="232" spans="1:12" ht="15.6" x14ac:dyDescent="0.3">
      <c r="A232" s="3">
        <v>1231</v>
      </c>
      <c r="B232" s="4" t="s">
        <v>48</v>
      </c>
      <c r="C232" s="4" t="s">
        <v>38</v>
      </c>
      <c r="D232" s="4" t="s">
        <v>18</v>
      </c>
      <c r="E232" s="4" t="s">
        <v>19</v>
      </c>
      <c r="F232" s="4">
        <v>13</v>
      </c>
      <c r="G232" s="4">
        <v>10297</v>
      </c>
      <c r="H232" s="4">
        <v>12</v>
      </c>
      <c r="I232" s="5">
        <v>46178</v>
      </c>
      <c r="J232" s="5">
        <v>46186</v>
      </c>
      <c r="K232" s="24" t="s">
        <v>20</v>
      </c>
      <c r="L232" s="39">
        <f t="shared" si="3"/>
        <v>133861</v>
      </c>
    </row>
    <row r="233" spans="1:12" ht="15.6" x14ac:dyDescent="0.3">
      <c r="A233" s="3">
        <v>1232</v>
      </c>
      <c r="B233" s="4" t="s">
        <v>21</v>
      </c>
      <c r="C233" s="4" t="s">
        <v>12</v>
      </c>
      <c r="D233" s="4" t="s">
        <v>34</v>
      </c>
      <c r="E233" s="4" t="s">
        <v>60</v>
      </c>
      <c r="F233" s="4">
        <v>3</v>
      </c>
      <c r="G233" s="4">
        <v>13272</v>
      </c>
      <c r="H233" s="4">
        <v>2</v>
      </c>
      <c r="I233" s="5">
        <v>46060</v>
      </c>
      <c r="J233" s="5">
        <v>46065</v>
      </c>
      <c r="K233" s="24" t="s">
        <v>15</v>
      </c>
      <c r="L233" s="39">
        <f t="shared" si="3"/>
        <v>39816</v>
      </c>
    </row>
    <row r="234" spans="1:12" ht="15.6" x14ac:dyDescent="0.3">
      <c r="A234" s="3">
        <v>1233</v>
      </c>
      <c r="B234" s="4" t="s">
        <v>58</v>
      </c>
      <c r="C234" s="4" t="s">
        <v>22</v>
      </c>
      <c r="D234" s="4" t="s">
        <v>18</v>
      </c>
      <c r="E234" s="4" t="s">
        <v>19</v>
      </c>
      <c r="F234" s="4">
        <v>20</v>
      </c>
      <c r="G234" s="4">
        <v>13941</v>
      </c>
      <c r="H234" s="4">
        <v>15</v>
      </c>
      <c r="I234" s="5">
        <v>46198</v>
      </c>
      <c r="J234" s="5">
        <v>46202</v>
      </c>
      <c r="K234" s="24" t="s">
        <v>24</v>
      </c>
      <c r="L234" s="39">
        <f t="shared" si="3"/>
        <v>278820</v>
      </c>
    </row>
    <row r="235" spans="1:12" ht="15.6" x14ac:dyDescent="0.3">
      <c r="A235" s="3">
        <v>1234</v>
      </c>
      <c r="B235" s="4" t="s">
        <v>11</v>
      </c>
      <c r="C235" s="4" t="s">
        <v>25</v>
      </c>
      <c r="D235" s="4" t="s">
        <v>18</v>
      </c>
      <c r="E235" s="4" t="s">
        <v>28</v>
      </c>
      <c r="F235" s="4">
        <v>1</v>
      </c>
      <c r="G235" s="4">
        <v>14320</v>
      </c>
      <c r="H235" s="4">
        <v>12</v>
      </c>
      <c r="I235" s="5">
        <v>46114</v>
      </c>
      <c r="J235" s="5">
        <v>46121</v>
      </c>
      <c r="K235" s="24" t="s">
        <v>51</v>
      </c>
      <c r="L235" s="39">
        <f t="shared" si="3"/>
        <v>14320</v>
      </c>
    </row>
    <row r="236" spans="1:12" ht="15.6" x14ac:dyDescent="0.3">
      <c r="A236" s="3">
        <v>1235</v>
      </c>
      <c r="B236" s="4" t="s">
        <v>57</v>
      </c>
      <c r="C236" s="4" t="s">
        <v>25</v>
      </c>
      <c r="D236" s="4" t="s">
        <v>13</v>
      </c>
      <c r="E236" s="4" t="s">
        <v>50</v>
      </c>
      <c r="F236" s="4">
        <v>15</v>
      </c>
      <c r="G236" s="4">
        <v>267</v>
      </c>
      <c r="H236" s="4">
        <v>15</v>
      </c>
      <c r="I236" s="5">
        <v>46172</v>
      </c>
      <c r="J236" s="5">
        <v>46177</v>
      </c>
      <c r="K236" s="24" t="s">
        <v>29</v>
      </c>
      <c r="L236" s="39">
        <f t="shared" si="3"/>
        <v>4005</v>
      </c>
    </row>
    <row r="237" spans="1:12" ht="15.6" x14ac:dyDescent="0.3">
      <c r="A237" s="3">
        <v>1236</v>
      </c>
      <c r="B237" s="4" t="s">
        <v>54</v>
      </c>
      <c r="C237" s="4" t="s">
        <v>43</v>
      </c>
      <c r="D237" s="4" t="s">
        <v>13</v>
      </c>
      <c r="E237" s="4" t="s">
        <v>37</v>
      </c>
      <c r="F237" s="4">
        <v>12</v>
      </c>
      <c r="G237" s="4">
        <v>189</v>
      </c>
      <c r="H237" s="4">
        <v>7</v>
      </c>
      <c r="I237" s="5">
        <v>46164</v>
      </c>
      <c r="J237" s="5">
        <v>46169</v>
      </c>
      <c r="K237" s="24" t="s">
        <v>29</v>
      </c>
      <c r="L237" s="39">
        <f t="shared" si="3"/>
        <v>2268</v>
      </c>
    </row>
    <row r="238" spans="1:12" ht="15.6" x14ac:dyDescent="0.3">
      <c r="A238" s="3">
        <v>1237</v>
      </c>
      <c r="B238" s="4" t="s">
        <v>46</v>
      </c>
      <c r="C238" s="4" t="s">
        <v>38</v>
      </c>
      <c r="D238" s="4" t="s">
        <v>18</v>
      </c>
      <c r="E238" s="4" t="s">
        <v>56</v>
      </c>
      <c r="F238" s="4">
        <v>8</v>
      </c>
      <c r="G238" s="4">
        <v>12123</v>
      </c>
      <c r="H238" s="4">
        <v>2</v>
      </c>
      <c r="I238" s="5">
        <v>46137</v>
      </c>
      <c r="J238" s="5">
        <v>46145</v>
      </c>
      <c r="K238" s="24" t="s">
        <v>15</v>
      </c>
      <c r="L238" s="39">
        <f t="shared" si="3"/>
        <v>96984</v>
      </c>
    </row>
    <row r="239" spans="1:12" ht="15.6" x14ac:dyDescent="0.3">
      <c r="A239" s="3">
        <v>1238</v>
      </c>
      <c r="B239" s="4" t="s">
        <v>30</v>
      </c>
      <c r="C239" s="4" t="s">
        <v>31</v>
      </c>
      <c r="D239" s="4" t="s">
        <v>13</v>
      </c>
      <c r="E239" s="4" t="s">
        <v>14</v>
      </c>
      <c r="F239" s="4">
        <v>6</v>
      </c>
      <c r="G239" s="4">
        <v>180</v>
      </c>
      <c r="H239" s="4">
        <v>12</v>
      </c>
      <c r="I239" s="5">
        <v>46096</v>
      </c>
      <c r="J239" s="5">
        <v>46097</v>
      </c>
      <c r="K239" s="24" t="s">
        <v>51</v>
      </c>
      <c r="L239" s="39">
        <f t="shared" si="3"/>
        <v>1080</v>
      </c>
    </row>
    <row r="240" spans="1:12" ht="15.6" x14ac:dyDescent="0.3">
      <c r="A240" s="3">
        <v>1239</v>
      </c>
      <c r="B240" s="4" t="s">
        <v>48</v>
      </c>
      <c r="C240" s="4" t="s">
        <v>17</v>
      </c>
      <c r="D240" s="4" t="s">
        <v>18</v>
      </c>
      <c r="E240" s="4" t="s">
        <v>56</v>
      </c>
      <c r="F240" s="4">
        <v>2</v>
      </c>
      <c r="G240" s="4">
        <v>12330</v>
      </c>
      <c r="H240" s="4">
        <v>12</v>
      </c>
      <c r="I240" s="5">
        <v>46122</v>
      </c>
      <c r="J240" s="5">
        <v>46125</v>
      </c>
      <c r="K240" s="24" t="s">
        <v>15</v>
      </c>
      <c r="L240" s="39">
        <f t="shared" si="3"/>
        <v>24660</v>
      </c>
    </row>
    <row r="241" spans="1:12" ht="15.6" x14ac:dyDescent="0.3">
      <c r="A241" s="3">
        <v>1240</v>
      </c>
      <c r="B241" s="4" t="s">
        <v>55</v>
      </c>
      <c r="C241" s="4" t="s">
        <v>33</v>
      </c>
      <c r="D241" s="4" t="s">
        <v>18</v>
      </c>
      <c r="E241" s="4" t="s">
        <v>23</v>
      </c>
      <c r="F241" s="4">
        <v>2</v>
      </c>
      <c r="G241" s="4">
        <v>5475</v>
      </c>
      <c r="H241" s="4">
        <v>2</v>
      </c>
      <c r="I241" s="5">
        <v>46142</v>
      </c>
      <c r="J241" s="5">
        <v>46146</v>
      </c>
      <c r="K241" s="24" t="s">
        <v>29</v>
      </c>
      <c r="L241" s="39">
        <f t="shared" si="3"/>
        <v>10950</v>
      </c>
    </row>
    <row r="242" spans="1:12" ht="15.6" x14ac:dyDescent="0.3">
      <c r="A242" s="3">
        <v>1241</v>
      </c>
      <c r="B242" s="4" t="s">
        <v>46</v>
      </c>
      <c r="C242" s="4" t="s">
        <v>31</v>
      </c>
      <c r="D242" s="4" t="s">
        <v>18</v>
      </c>
      <c r="E242" s="4" t="s">
        <v>44</v>
      </c>
      <c r="F242" s="4">
        <v>1</v>
      </c>
      <c r="G242" s="4">
        <v>12537</v>
      </c>
      <c r="H242" s="4">
        <v>0</v>
      </c>
      <c r="I242" s="5">
        <v>46119</v>
      </c>
      <c r="J242" s="5">
        <v>46122</v>
      </c>
      <c r="K242" s="24" t="s">
        <v>15</v>
      </c>
      <c r="L242" s="39">
        <f t="shared" si="3"/>
        <v>12537</v>
      </c>
    </row>
    <row r="243" spans="1:12" ht="15.6" x14ac:dyDescent="0.3">
      <c r="A243" s="3">
        <v>1242</v>
      </c>
      <c r="B243" s="4" t="s">
        <v>54</v>
      </c>
      <c r="C243" s="4" t="s">
        <v>38</v>
      </c>
      <c r="D243" s="4" t="s">
        <v>13</v>
      </c>
      <c r="E243" s="4" t="s">
        <v>50</v>
      </c>
      <c r="F243" s="4">
        <v>7</v>
      </c>
      <c r="G243" s="4">
        <v>168</v>
      </c>
      <c r="H243" s="4">
        <v>10</v>
      </c>
      <c r="I243" s="5">
        <v>46191</v>
      </c>
      <c r="J243" s="5">
        <v>46196</v>
      </c>
      <c r="K243" s="24" t="s">
        <v>51</v>
      </c>
      <c r="L243" s="39">
        <f t="shared" si="3"/>
        <v>1176</v>
      </c>
    </row>
    <row r="244" spans="1:12" ht="15.6" x14ac:dyDescent="0.3">
      <c r="A244" s="3">
        <v>1243</v>
      </c>
      <c r="B244" s="4" t="s">
        <v>30</v>
      </c>
      <c r="C244" s="4" t="s">
        <v>31</v>
      </c>
      <c r="D244" s="4" t="s">
        <v>34</v>
      </c>
      <c r="E244" s="4" t="s">
        <v>41</v>
      </c>
      <c r="F244" s="4">
        <v>5</v>
      </c>
      <c r="G244" s="4">
        <v>11570</v>
      </c>
      <c r="H244" s="4">
        <v>15</v>
      </c>
      <c r="I244" s="5">
        <v>46069</v>
      </c>
      <c r="J244" s="5">
        <v>46077</v>
      </c>
      <c r="K244" s="24" t="s">
        <v>24</v>
      </c>
      <c r="L244" s="39">
        <f t="shared" si="3"/>
        <v>57850</v>
      </c>
    </row>
    <row r="245" spans="1:12" ht="15.6" x14ac:dyDescent="0.3">
      <c r="A245" s="3">
        <v>1244</v>
      </c>
      <c r="B245" s="4" t="s">
        <v>57</v>
      </c>
      <c r="C245" s="4" t="s">
        <v>38</v>
      </c>
      <c r="D245" s="4" t="s">
        <v>18</v>
      </c>
      <c r="E245" s="4" t="s">
        <v>28</v>
      </c>
      <c r="F245" s="4">
        <v>10</v>
      </c>
      <c r="G245" s="4">
        <v>6339</v>
      </c>
      <c r="H245" s="4">
        <v>12</v>
      </c>
      <c r="I245" s="5">
        <v>46200</v>
      </c>
      <c r="J245" s="5">
        <v>46205</v>
      </c>
      <c r="K245" s="24" t="s">
        <v>15</v>
      </c>
      <c r="L245" s="39">
        <f t="shared" si="3"/>
        <v>63390</v>
      </c>
    </row>
    <row r="246" spans="1:12" ht="15.6" x14ac:dyDescent="0.3">
      <c r="A246" s="3">
        <v>1245</v>
      </c>
      <c r="B246" s="4" t="s">
        <v>55</v>
      </c>
      <c r="C246" s="4" t="s">
        <v>43</v>
      </c>
      <c r="D246" s="4" t="s">
        <v>34</v>
      </c>
      <c r="E246" s="4" t="s">
        <v>41</v>
      </c>
      <c r="F246" s="4">
        <v>19</v>
      </c>
      <c r="G246" s="4">
        <v>69029</v>
      </c>
      <c r="H246" s="4">
        <v>7</v>
      </c>
      <c r="I246" s="5">
        <v>46176</v>
      </c>
      <c r="J246" s="5">
        <v>46179</v>
      </c>
      <c r="K246" s="24" t="s">
        <v>29</v>
      </c>
      <c r="L246" s="39">
        <f t="shared" si="3"/>
        <v>1311551</v>
      </c>
    </row>
    <row r="247" spans="1:12" ht="15.6" x14ac:dyDescent="0.3">
      <c r="A247" s="3">
        <v>1246</v>
      </c>
      <c r="B247" s="4" t="s">
        <v>55</v>
      </c>
      <c r="C247" s="4" t="s">
        <v>22</v>
      </c>
      <c r="D247" s="4" t="s">
        <v>34</v>
      </c>
      <c r="E247" s="4" t="s">
        <v>35</v>
      </c>
      <c r="F247" s="4">
        <v>13</v>
      </c>
      <c r="G247" s="4">
        <v>1825</v>
      </c>
      <c r="H247" s="4">
        <v>2</v>
      </c>
      <c r="I247" s="5">
        <v>46039</v>
      </c>
      <c r="J247" s="5">
        <v>46045</v>
      </c>
      <c r="K247" s="24" t="s">
        <v>51</v>
      </c>
      <c r="L247" s="39">
        <f t="shared" si="3"/>
        <v>23725</v>
      </c>
    </row>
    <row r="248" spans="1:12" ht="15.6" x14ac:dyDescent="0.3">
      <c r="A248" s="3">
        <v>1247</v>
      </c>
      <c r="B248" s="4" t="s">
        <v>26</v>
      </c>
      <c r="C248" s="4" t="s">
        <v>12</v>
      </c>
      <c r="D248" s="4" t="s">
        <v>13</v>
      </c>
      <c r="E248" s="4" t="s">
        <v>50</v>
      </c>
      <c r="F248" s="4">
        <v>10</v>
      </c>
      <c r="G248" s="4">
        <v>336</v>
      </c>
      <c r="H248" s="4">
        <v>7</v>
      </c>
      <c r="I248" s="5">
        <v>46173</v>
      </c>
      <c r="J248" s="5">
        <v>46175</v>
      </c>
      <c r="K248" s="24" t="s">
        <v>20</v>
      </c>
      <c r="L248" s="39">
        <f t="shared" si="3"/>
        <v>3360</v>
      </c>
    </row>
    <row r="249" spans="1:12" ht="15.6" x14ac:dyDescent="0.3">
      <c r="A249" s="3">
        <v>1248</v>
      </c>
      <c r="B249" s="4" t="s">
        <v>27</v>
      </c>
      <c r="C249" s="4" t="s">
        <v>43</v>
      </c>
      <c r="D249" s="4" t="s">
        <v>13</v>
      </c>
      <c r="E249" s="4" t="s">
        <v>37</v>
      </c>
      <c r="F249" s="4">
        <v>5</v>
      </c>
      <c r="G249" s="4">
        <v>398</v>
      </c>
      <c r="H249" s="4">
        <v>7</v>
      </c>
      <c r="I249" s="5">
        <v>46161</v>
      </c>
      <c r="J249" s="5">
        <v>46171</v>
      </c>
      <c r="K249" s="24" t="s">
        <v>29</v>
      </c>
      <c r="L249" s="39">
        <f t="shared" si="3"/>
        <v>1990</v>
      </c>
    </row>
    <row r="250" spans="1:12" ht="15.6" x14ac:dyDescent="0.3">
      <c r="A250" s="3">
        <v>1249</v>
      </c>
      <c r="B250" s="4" t="s">
        <v>16</v>
      </c>
      <c r="C250" s="4" t="s">
        <v>25</v>
      </c>
      <c r="D250" s="4" t="s">
        <v>34</v>
      </c>
      <c r="E250" s="4" t="s">
        <v>41</v>
      </c>
      <c r="F250" s="4">
        <v>18</v>
      </c>
      <c r="G250" s="4">
        <v>6360</v>
      </c>
      <c r="H250" s="4">
        <v>12</v>
      </c>
      <c r="I250" s="5">
        <v>46163</v>
      </c>
      <c r="J250" s="5">
        <v>46165</v>
      </c>
      <c r="K250" s="24" t="s">
        <v>20</v>
      </c>
      <c r="L250" s="39">
        <f t="shared" si="3"/>
        <v>114480</v>
      </c>
    </row>
    <row r="251" spans="1:12" ht="15.6" x14ac:dyDescent="0.3">
      <c r="A251" s="3">
        <v>1250</v>
      </c>
      <c r="B251" s="4" t="s">
        <v>11</v>
      </c>
      <c r="C251" s="4" t="s">
        <v>17</v>
      </c>
      <c r="D251" s="4" t="s">
        <v>34</v>
      </c>
      <c r="E251" s="4" t="s">
        <v>45</v>
      </c>
      <c r="F251" s="4">
        <v>2</v>
      </c>
      <c r="G251" s="4">
        <v>65953</v>
      </c>
      <c r="H251" s="4">
        <v>7</v>
      </c>
      <c r="I251" s="5">
        <v>46051</v>
      </c>
      <c r="J251" s="5">
        <v>46053</v>
      </c>
      <c r="K251" s="24" t="s">
        <v>29</v>
      </c>
      <c r="L251" s="39">
        <f t="shared" si="3"/>
        <v>131906</v>
      </c>
    </row>
    <row r="252" spans="1:12" ht="15.6" x14ac:dyDescent="0.3">
      <c r="A252" s="3">
        <v>1251</v>
      </c>
      <c r="B252" s="4" t="s">
        <v>55</v>
      </c>
      <c r="C252" s="4" t="s">
        <v>38</v>
      </c>
      <c r="D252" s="4" t="s">
        <v>34</v>
      </c>
      <c r="E252" s="4" t="s">
        <v>61</v>
      </c>
      <c r="F252" s="4">
        <v>19</v>
      </c>
      <c r="G252" s="4">
        <v>48548</v>
      </c>
      <c r="H252" s="4">
        <v>0</v>
      </c>
      <c r="I252" s="5">
        <v>46112</v>
      </c>
      <c r="J252" s="5">
        <v>46121</v>
      </c>
      <c r="K252" s="24" t="s">
        <v>51</v>
      </c>
      <c r="L252" s="39">
        <f t="shared" si="3"/>
        <v>922412</v>
      </c>
    </row>
    <row r="253" spans="1:12" ht="15.6" x14ac:dyDescent="0.3">
      <c r="A253" s="3">
        <v>1252</v>
      </c>
      <c r="B253" s="4" t="s">
        <v>47</v>
      </c>
      <c r="C253" s="4" t="s">
        <v>25</v>
      </c>
      <c r="D253" s="4" t="s">
        <v>13</v>
      </c>
      <c r="E253" s="4" t="s">
        <v>36</v>
      </c>
      <c r="F253" s="4">
        <v>15</v>
      </c>
      <c r="G253" s="4">
        <v>257</v>
      </c>
      <c r="H253" s="4">
        <v>5</v>
      </c>
      <c r="I253" s="5">
        <v>46166</v>
      </c>
      <c r="J253" s="5">
        <v>46173</v>
      </c>
      <c r="K253" s="24" t="s">
        <v>20</v>
      </c>
      <c r="L253" s="39">
        <f t="shared" si="3"/>
        <v>3855</v>
      </c>
    </row>
    <row r="254" spans="1:12" ht="15.6" x14ac:dyDescent="0.3">
      <c r="A254" s="3">
        <v>1253</v>
      </c>
      <c r="B254" s="4" t="s">
        <v>21</v>
      </c>
      <c r="C254" s="4" t="s">
        <v>31</v>
      </c>
      <c r="D254" s="4" t="s">
        <v>34</v>
      </c>
      <c r="E254" s="4" t="s">
        <v>45</v>
      </c>
      <c r="F254" s="4">
        <v>20</v>
      </c>
      <c r="G254" s="4">
        <v>47880</v>
      </c>
      <c r="H254" s="4">
        <v>7</v>
      </c>
      <c r="I254" s="5">
        <v>46074</v>
      </c>
      <c r="J254" s="5">
        <v>46075</v>
      </c>
      <c r="K254" s="24" t="s">
        <v>29</v>
      </c>
      <c r="L254" s="39">
        <f t="shared" si="3"/>
        <v>957600</v>
      </c>
    </row>
    <row r="255" spans="1:12" ht="15.6" x14ac:dyDescent="0.3">
      <c r="A255" s="3">
        <v>1254</v>
      </c>
      <c r="B255" s="4" t="s">
        <v>52</v>
      </c>
      <c r="C255" s="4" t="s">
        <v>22</v>
      </c>
      <c r="D255" s="4" t="s">
        <v>13</v>
      </c>
      <c r="E255" s="4" t="s">
        <v>50</v>
      </c>
      <c r="F255" s="4">
        <v>18</v>
      </c>
      <c r="G255" s="4">
        <v>447</v>
      </c>
      <c r="H255" s="4">
        <v>15</v>
      </c>
      <c r="I255" s="5">
        <v>46141</v>
      </c>
      <c r="J255" s="5">
        <v>46149</v>
      </c>
      <c r="K255" s="24" t="s">
        <v>24</v>
      </c>
      <c r="L255" s="39">
        <f t="shared" si="3"/>
        <v>8046</v>
      </c>
    </row>
    <row r="256" spans="1:12" ht="15.6" x14ac:dyDescent="0.3">
      <c r="A256" s="3">
        <v>1255</v>
      </c>
      <c r="B256" s="4" t="s">
        <v>32</v>
      </c>
      <c r="C256" s="4" t="s">
        <v>17</v>
      </c>
      <c r="D256" s="4" t="s">
        <v>18</v>
      </c>
      <c r="E256" s="4" t="s">
        <v>19</v>
      </c>
      <c r="F256" s="4">
        <v>1</v>
      </c>
      <c r="G256" s="4">
        <v>2240</v>
      </c>
      <c r="H256" s="4">
        <v>5</v>
      </c>
      <c r="I256" s="5">
        <v>46091</v>
      </c>
      <c r="J256" s="5">
        <v>46095</v>
      </c>
      <c r="K256" s="24" t="s">
        <v>20</v>
      </c>
      <c r="L256" s="39">
        <f t="shared" si="3"/>
        <v>2240</v>
      </c>
    </row>
    <row r="257" spans="1:12" ht="15.6" x14ac:dyDescent="0.3">
      <c r="A257" s="3">
        <v>1256</v>
      </c>
      <c r="B257" s="4" t="s">
        <v>48</v>
      </c>
      <c r="C257" s="4" t="s">
        <v>31</v>
      </c>
      <c r="D257" s="4" t="s">
        <v>13</v>
      </c>
      <c r="E257" s="4" t="s">
        <v>50</v>
      </c>
      <c r="F257" s="4">
        <v>19</v>
      </c>
      <c r="G257" s="4">
        <v>406</v>
      </c>
      <c r="H257" s="4">
        <v>7</v>
      </c>
      <c r="I257" s="5">
        <v>46057</v>
      </c>
      <c r="J257" s="5">
        <v>46061</v>
      </c>
      <c r="K257" s="24" t="s">
        <v>15</v>
      </c>
      <c r="L257" s="39">
        <f t="shared" si="3"/>
        <v>7714</v>
      </c>
    </row>
    <row r="258" spans="1:12" ht="15.6" x14ac:dyDescent="0.3">
      <c r="A258" s="3">
        <v>1257</v>
      </c>
      <c r="B258" s="4" t="s">
        <v>54</v>
      </c>
      <c r="C258" s="4" t="s">
        <v>25</v>
      </c>
      <c r="D258" s="4" t="s">
        <v>34</v>
      </c>
      <c r="E258" s="4" t="s">
        <v>61</v>
      </c>
      <c r="F258" s="4">
        <v>7</v>
      </c>
      <c r="G258" s="4">
        <v>53243</v>
      </c>
      <c r="H258" s="4">
        <v>12</v>
      </c>
      <c r="I258" s="5">
        <v>46161</v>
      </c>
      <c r="J258" s="5">
        <v>46171</v>
      </c>
      <c r="K258" s="24" t="s">
        <v>15</v>
      </c>
      <c r="L258" s="39">
        <f t="shared" si="3"/>
        <v>372701</v>
      </c>
    </row>
    <row r="259" spans="1:12" ht="15.6" x14ac:dyDescent="0.3">
      <c r="A259" s="3">
        <v>1258</v>
      </c>
      <c r="B259" s="4" t="s">
        <v>32</v>
      </c>
      <c r="C259" s="4" t="s">
        <v>31</v>
      </c>
      <c r="D259" s="4" t="s">
        <v>34</v>
      </c>
      <c r="E259" s="4" t="s">
        <v>60</v>
      </c>
      <c r="F259" s="4">
        <v>1</v>
      </c>
      <c r="G259" s="4">
        <v>10600</v>
      </c>
      <c r="H259" s="4">
        <v>5</v>
      </c>
      <c r="I259" s="5">
        <v>46137</v>
      </c>
      <c r="J259" s="5">
        <v>46138</v>
      </c>
      <c r="K259" s="24" t="s">
        <v>29</v>
      </c>
      <c r="L259" s="39">
        <f t="shared" ref="L259:L322" si="4">(F259*G259)</f>
        <v>10600</v>
      </c>
    </row>
    <row r="260" spans="1:12" ht="15.6" x14ac:dyDescent="0.3">
      <c r="A260" s="3">
        <v>1259</v>
      </c>
      <c r="B260" s="4" t="s">
        <v>42</v>
      </c>
      <c r="C260" s="4" t="s">
        <v>22</v>
      </c>
      <c r="D260" s="4" t="s">
        <v>34</v>
      </c>
      <c r="E260" s="4" t="s">
        <v>45</v>
      </c>
      <c r="F260" s="4">
        <v>10</v>
      </c>
      <c r="G260" s="4">
        <v>38771</v>
      </c>
      <c r="H260" s="4">
        <v>15</v>
      </c>
      <c r="I260" s="5">
        <v>46172</v>
      </c>
      <c r="J260" s="5">
        <v>46182</v>
      </c>
      <c r="K260" s="24" t="s">
        <v>15</v>
      </c>
      <c r="L260" s="39">
        <f t="shared" si="4"/>
        <v>387710</v>
      </c>
    </row>
    <row r="261" spans="1:12" ht="15.6" x14ac:dyDescent="0.3">
      <c r="A261" s="3">
        <v>1260</v>
      </c>
      <c r="B261" s="4" t="s">
        <v>54</v>
      </c>
      <c r="C261" s="4" t="s">
        <v>38</v>
      </c>
      <c r="D261" s="4" t="s">
        <v>34</v>
      </c>
      <c r="E261" s="4" t="s">
        <v>41</v>
      </c>
      <c r="F261" s="4">
        <v>19</v>
      </c>
      <c r="G261" s="4">
        <v>54981</v>
      </c>
      <c r="H261" s="4">
        <v>10</v>
      </c>
      <c r="I261" s="5">
        <v>46040</v>
      </c>
      <c r="J261" s="5">
        <v>46045</v>
      </c>
      <c r="K261" s="24" t="s">
        <v>29</v>
      </c>
      <c r="L261" s="39">
        <f t="shared" si="4"/>
        <v>1044639</v>
      </c>
    </row>
    <row r="262" spans="1:12" ht="15.6" x14ac:dyDescent="0.3">
      <c r="A262" s="3">
        <v>1261</v>
      </c>
      <c r="B262" s="4" t="s">
        <v>40</v>
      </c>
      <c r="C262" s="4" t="s">
        <v>17</v>
      </c>
      <c r="D262" s="4" t="s">
        <v>13</v>
      </c>
      <c r="E262" s="4" t="s">
        <v>50</v>
      </c>
      <c r="F262" s="4">
        <v>20</v>
      </c>
      <c r="G262" s="4">
        <v>162</v>
      </c>
      <c r="H262" s="4">
        <v>7</v>
      </c>
      <c r="I262" s="5">
        <v>46119</v>
      </c>
      <c r="J262" s="5">
        <v>46120</v>
      </c>
      <c r="K262" s="24" t="s">
        <v>51</v>
      </c>
      <c r="L262" s="39">
        <f t="shared" si="4"/>
        <v>3240</v>
      </c>
    </row>
    <row r="263" spans="1:12" ht="15.6" x14ac:dyDescent="0.3">
      <c r="A263" s="3">
        <v>1262</v>
      </c>
      <c r="B263" s="4" t="s">
        <v>16</v>
      </c>
      <c r="C263" s="4" t="s">
        <v>22</v>
      </c>
      <c r="D263" s="4" t="s">
        <v>18</v>
      </c>
      <c r="E263" s="4" t="s">
        <v>28</v>
      </c>
      <c r="F263" s="4">
        <v>9</v>
      </c>
      <c r="G263" s="4">
        <v>2231</v>
      </c>
      <c r="H263" s="4">
        <v>15</v>
      </c>
      <c r="I263" s="5">
        <v>46174</v>
      </c>
      <c r="J263" s="5">
        <v>46183</v>
      </c>
      <c r="K263" s="24" t="s">
        <v>15</v>
      </c>
      <c r="L263" s="39">
        <f t="shared" si="4"/>
        <v>20079</v>
      </c>
    </row>
    <row r="264" spans="1:12" ht="15.6" x14ac:dyDescent="0.3">
      <c r="A264" s="3">
        <v>1263</v>
      </c>
      <c r="B264" s="4" t="s">
        <v>29</v>
      </c>
      <c r="C264" s="4" t="s">
        <v>38</v>
      </c>
      <c r="D264" s="4" t="s">
        <v>18</v>
      </c>
      <c r="E264" s="4" t="s">
        <v>28</v>
      </c>
      <c r="F264" s="4">
        <v>10</v>
      </c>
      <c r="G264" s="4">
        <v>1505</v>
      </c>
      <c r="H264" s="4">
        <v>0</v>
      </c>
      <c r="I264" s="5">
        <v>46130</v>
      </c>
      <c r="J264" s="5">
        <v>46138</v>
      </c>
      <c r="K264" s="24" t="s">
        <v>51</v>
      </c>
      <c r="L264" s="39">
        <f t="shared" si="4"/>
        <v>15050</v>
      </c>
    </row>
    <row r="265" spans="1:12" ht="15.6" x14ac:dyDescent="0.3">
      <c r="A265" s="3">
        <v>1264</v>
      </c>
      <c r="B265" s="4" t="s">
        <v>11</v>
      </c>
      <c r="C265" s="4" t="s">
        <v>22</v>
      </c>
      <c r="D265" s="4" t="s">
        <v>18</v>
      </c>
      <c r="E265" s="4" t="s">
        <v>28</v>
      </c>
      <c r="F265" s="4">
        <v>15</v>
      </c>
      <c r="G265" s="4">
        <v>6365</v>
      </c>
      <c r="H265" s="4">
        <v>10</v>
      </c>
      <c r="I265" s="5">
        <v>46200</v>
      </c>
      <c r="J265" s="5">
        <v>46206</v>
      </c>
      <c r="K265" s="24" t="s">
        <v>20</v>
      </c>
      <c r="L265" s="39">
        <f t="shared" si="4"/>
        <v>95475</v>
      </c>
    </row>
    <row r="266" spans="1:12" ht="15.6" x14ac:dyDescent="0.3">
      <c r="A266" s="3">
        <v>1265</v>
      </c>
      <c r="B266" s="4" t="s">
        <v>58</v>
      </c>
      <c r="C266" s="4" t="s">
        <v>22</v>
      </c>
      <c r="D266" s="4" t="s">
        <v>18</v>
      </c>
      <c r="E266" s="4" t="s">
        <v>19</v>
      </c>
      <c r="F266" s="4">
        <v>1</v>
      </c>
      <c r="G266" s="4">
        <v>1052</v>
      </c>
      <c r="H266" s="4">
        <v>7</v>
      </c>
      <c r="I266" s="5">
        <v>46117</v>
      </c>
      <c r="J266" s="5">
        <v>46127</v>
      </c>
      <c r="K266" s="24" t="s">
        <v>51</v>
      </c>
      <c r="L266" s="39">
        <f t="shared" si="4"/>
        <v>1052</v>
      </c>
    </row>
    <row r="267" spans="1:12" ht="15.6" x14ac:dyDescent="0.3">
      <c r="A267" s="3">
        <v>1266</v>
      </c>
      <c r="B267" s="4" t="s">
        <v>29</v>
      </c>
      <c r="C267" s="4" t="s">
        <v>33</v>
      </c>
      <c r="D267" s="4" t="s">
        <v>13</v>
      </c>
      <c r="E267" s="4" t="s">
        <v>14</v>
      </c>
      <c r="F267" s="4">
        <v>17</v>
      </c>
      <c r="G267" s="4">
        <v>365</v>
      </c>
      <c r="H267" s="4">
        <v>2</v>
      </c>
      <c r="I267" s="5">
        <v>46096</v>
      </c>
      <c r="J267" s="5">
        <v>46104</v>
      </c>
      <c r="K267" s="24" t="s">
        <v>51</v>
      </c>
      <c r="L267" s="39">
        <f t="shared" si="4"/>
        <v>6205</v>
      </c>
    </row>
    <row r="268" spans="1:12" ht="15.6" x14ac:dyDescent="0.3">
      <c r="A268" s="3">
        <v>1267</v>
      </c>
      <c r="B268" s="4" t="s">
        <v>27</v>
      </c>
      <c r="C268" s="4" t="s">
        <v>38</v>
      </c>
      <c r="D268" s="4" t="s">
        <v>13</v>
      </c>
      <c r="E268" s="4" t="s">
        <v>50</v>
      </c>
      <c r="F268" s="4">
        <v>1</v>
      </c>
      <c r="G268" s="4">
        <v>50</v>
      </c>
      <c r="H268" s="4">
        <v>0</v>
      </c>
      <c r="I268" s="5">
        <v>46129</v>
      </c>
      <c r="J268" s="5">
        <v>46138</v>
      </c>
      <c r="K268" s="24" t="s">
        <v>20</v>
      </c>
      <c r="L268" s="39">
        <f t="shared" si="4"/>
        <v>50</v>
      </c>
    </row>
    <row r="269" spans="1:12" ht="15.6" x14ac:dyDescent="0.3">
      <c r="A269" s="3">
        <v>1268</v>
      </c>
      <c r="B269" s="4" t="s">
        <v>42</v>
      </c>
      <c r="C269" s="4" t="s">
        <v>38</v>
      </c>
      <c r="D269" s="4" t="s">
        <v>34</v>
      </c>
      <c r="E269" s="4" t="s">
        <v>45</v>
      </c>
      <c r="F269" s="4">
        <v>10</v>
      </c>
      <c r="G269" s="4">
        <v>46291</v>
      </c>
      <c r="H269" s="4">
        <v>12</v>
      </c>
      <c r="I269" s="5">
        <v>46199</v>
      </c>
      <c r="J269" s="5">
        <v>46202</v>
      </c>
      <c r="K269" s="24" t="s">
        <v>20</v>
      </c>
      <c r="L269" s="39">
        <f t="shared" si="4"/>
        <v>462910</v>
      </c>
    </row>
    <row r="270" spans="1:12" ht="15.6" x14ac:dyDescent="0.3">
      <c r="A270" s="3">
        <v>1269</v>
      </c>
      <c r="B270" s="4" t="s">
        <v>52</v>
      </c>
      <c r="C270" s="4" t="s">
        <v>43</v>
      </c>
      <c r="D270" s="4" t="s">
        <v>18</v>
      </c>
      <c r="E270" s="4" t="s">
        <v>19</v>
      </c>
      <c r="F270" s="4">
        <v>14</v>
      </c>
      <c r="G270" s="4">
        <v>5704</v>
      </c>
      <c r="H270" s="4">
        <v>2</v>
      </c>
      <c r="I270" s="5">
        <v>46129</v>
      </c>
      <c r="J270" s="5">
        <v>46131</v>
      </c>
      <c r="K270" s="24" t="s">
        <v>15</v>
      </c>
      <c r="L270" s="39">
        <f t="shared" si="4"/>
        <v>79856</v>
      </c>
    </row>
    <row r="271" spans="1:12" ht="15.6" x14ac:dyDescent="0.3">
      <c r="A271" s="3">
        <v>1270</v>
      </c>
      <c r="B271" s="4" t="s">
        <v>49</v>
      </c>
      <c r="C271" s="4" t="s">
        <v>43</v>
      </c>
      <c r="D271" s="4" t="s">
        <v>34</v>
      </c>
      <c r="E271" s="4" t="s">
        <v>35</v>
      </c>
      <c r="F271" s="4">
        <v>16</v>
      </c>
      <c r="G271" s="4">
        <v>62941</v>
      </c>
      <c r="H271" s="4">
        <v>7</v>
      </c>
      <c r="I271" s="5">
        <v>46135</v>
      </c>
      <c r="J271" s="5">
        <v>46141</v>
      </c>
      <c r="K271" s="24" t="s">
        <v>51</v>
      </c>
      <c r="L271" s="39">
        <f t="shared" si="4"/>
        <v>1007056</v>
      </c>
    </row>
    <row r="272" spans="1:12" ht="15.6" x14ac:dyDescent="0.3">
      <c r="A272" s="3">
        <v>1271</v>
      </c>
      <c r="B272" s="4" t="s">
        <v>40</v>
      </c>
      <c r="C272" s="4" t="s">
        <v>33</v>
      </c>
      <c r="D272" s="4" t="s">
        <v>34</v>
      </c>
      <c r="E272" s="4" t="s">
        <v>60</v>
      </c>
      <c r="F272" s="4">
        <v>20</v>
      </c>
      <c r="G272" s="4">
        <v>36941</v>
      </c>
      <c r="H272" s="4">
        <v>15</v>
      </c>
      <c r="I272" s="5">
        <v>46083</v>
      </c>
      <c r="J272" s="5">
        <v>46085</v>
      </c>
      <c r="K272" s="24" t="s">
        <v>29</v>
      </c>
      <c r="L272" s="39">
        <f t="shared" si="4"/>
        <v>738820</v>
      </c>
    </row>
    <row r="273" spans="1:12" ht="15.6" x14ac:dyDescent="0.3">
      <c r="A273" s="3">
        <v>1272</v>
      </c>
      <c r="B273" s="4" t="s">
        <v>52</v>
      </c>
      <c r="C273" s="4" t="s">
        <v>38</v>
      </c>
      <c r="D273" s="4" t="s">
        <v>34</v>
      </c>
      <c r="E273" s="4" t="s">
        <v>41</v>
      </c>
      <c r="F273" s="4">
        <v>13</v>
      </c>
      <c r="G273" s="4">
        <v>42179</v>
      </c>
      <c r="H273" s="4">
        <v>0</v>
      </c>
      <c r="I273" s="5">
        <v>46078</v>
      </c>
      <c r="J273" s="5">
        <v>46084</v>
      </c>
      <c r="K273" s="24" t="s">
        <v>20</v>
      </c>
      <c r="L273" s="39">
        <f t="shared" si="4"/>
        <v>548327</v>
      </c>
    </row>
    <row r="274" spans="1:12" ht="15.6" x14ac:dyDescent="0.3">
      <c r="A274" s="3">
        <v>1273</v>
      </c>
      <c r="B274" s="4" t="s">
        <v>46</v>
      </c>
      <c r="C274" s="4" t="s">
        <v>25</v>
      </c>
      <c r="D274" s="4" t="s">
        <v>34</v>
      </c>
      <c r="E274" s="4" t="s">
        <v>39</v>
      </c>
      <c r="F274" s="4">
        <v>12</v>
      </c>
      <c r="G274" s="4">
        <v>20618</v>
      </c>
      <c r="H274" s="4">
        <v>12</v>
      </c>
      <c r="I274" s="5">
        <v>46172</v>
      </c>
      <c r="J274" s="5">
        <v>46174</v>
      </c>
      <c r="K274" s="24" t="s">
        <v>20</v>
      </c>
      <c r="L274" s="39">
        <f t="shared" si="4"/>
        <v>247416</v>
      </c>
    </row>
    <row r="275" spans="1:12" ht="15.6" x14ac:dyDescent="0.3">
      <c r="A275" s="3">
        <v>1274</v>
      </c>
      <c r="B275" s="4" t="s">
        <v>26</v>
      </c>
      <c r="C275" s="4" t="s">
        <v>25</v>
      </c>
      <c r="D275" s="4" t="s">
        <v>34</v>
      </c>
      <c r="E275" s="4" t="s">
        <v>41</v>
      </c>
      <c r="F275" s="4">
        <v>13</v>
      </c>
      <c r="G275" s="4">
        <v>36652</v>
      </c>
      <c r="H275" s="4">
        <v>12</v>
      </c>
      <c r="I275" s="5">
        <v>46179</v>
      </c>
      <c r="J275" s="5">
        <v>46186</v>
      </c>
      <c r="K275" s="24" t="s">
        <v>20</v>
      </c>
      <c r="L275" s="39">
        <f t="shared" si="4"/>
        <v>476476</v>
      </c>
    </row>
    <row r="276" spans="1:12" ht="15.6" x14ac:dyDescent="0.3">
      <c r="A276" s="3">
        <v>1275</v>
      </c>
      <c r="B276" s="4" t="s">
        <v>16</v>
      </c>
      <c r="C276" s="4" t="s">
        <v>31</v>
      </c>
      <c r="D276" s="4" t="s">
        <v>13</v>
      </c>
      <c r="E276" s="4" t="s">
        <v>50</v>
      </c>
      <c r="F276" s="4">
        <v>20</v>
      </c>
      <c r="G276" s="4">
        <v>451</v>
      </c>
      <c r="H276" s="4">
        <v>15</v>
      </c>
      <c r="I276" s="5">
        <v>46092</v>
      </c>
      <c r="J276" s="5">
        <v>46094</v>
      </c>
      <c r="K276" s="24" t="s">
        <v>20</v>
      </c>
      <c r="L276" s="39">
        <f t="shared" si="4"/>
        <v>9020</v>
      </c>
    </row>
    <row r="277" spans="1:12" ht="15.6" x14ac:dyDescent="0.3">
      <c r="A277" s="3">
        <v>1276</v>
      </c>
      <c r="B277" s="4" t="s">
        <v>40</v>
      </c>
      <c r="C277" s="4" t="s">
        <v>12</v>
      </c>
      <c r="D277" s="4" t="s">
        <v>18</v>
      </c>
      <c r="E277" s="4" t="s">
        <v>19</v>
      </c>
      <c r="F277" s="4">
        <v>1</v>
      </c>
      <c r="G277" s="4">
        <v>13437</v>
      </c>
      <c r="H277" s="4">
        <v>15</v>
      </c>
      <c r="I277" s="5">
        <v>46097</v>
      </c>
      <c r="J277" s="5">
        <v>46099</v>
      </c>
      <c r="K277" s="24" t="s">
        <v>24</v>
      </c>
      <c r="L277" s="39">
        <f t="shared" si="4"/>
        <v>13437</v>
      </c>
    </row>
    <row r="278" spans="1:12" ht="15.6" x14ac:dyDescent="0.3">
      <c r="A278" s="3">
        <v>1277</v>
      </c>
      <c r="B278" s="4" t="s">
        <v>59</v>
      </c>
      <c r="C278" s="4" t="s">
        <v>17</v>
      </c>
      <c r="D278" s="4" t="s">
        <v>13</v>
      </c>
      <c r="E278" s="4" t="s">
        <v>36</v>
      </c>
      <c r="F278" s="4">
        <v>14</v>
      </c>
      <c r="G278" s="4">
        <v>276</v>
      </c>
      <c r="H278" s="4">
        <v>0</v>
      </c>
      <c r="I278" s="5">
        <v>46086</v>
      </c>
      <c r="J278" s="5">
        <v>46089</v>
      </c>
      <c r="K278" s="24" t="s">
        <v>15</v>
      </c>
      <c r="L278" s="39">
        <f t="shared" si="4"/>
        <v>3864</v>
      </c>
    </row>
    <row r="279" spans="1:12" ht="15.6" x14ac:dyDescent="0.3">
      <c r="A279" s="3">
        <v>1278</v>
      </c>
      <c r="B279" s="4" t="s">
        <v>47</v>
      </c>
      <c r="C279" s="4" t="s">
        <v>22</v>
      </c>
      <c r="D279" s="4" t="s">
        <v>34</v>
      </c>
      <c r="E279" s="4" t="s">
        <v>61</v>
      </c>
      <c r="F279" s="4">
        <v>4</v>
      </c>
      <c r="G279" s="4">
        <v>20639</v>
      </c>
      <c r="H279" s="4">
        <v>7</v>
      </c>
      <c r="I279" s="5">
        <v>46180</v>
      </c>
      <c r="J279" s="5">
        <v>46186</v>
      </c>
      <c r="K279" s="24" t="s">
        <v>20</v>
      </c>
      <c r="L279" s="39">
        <f t="shared" si="4"/>
        <v>82556</v>
      </c>
    </row>
    <row r="280" spans="1:12" ht="15.6" x14ac:dyDescent="0.3">
      <c r="A280" s="3">
        <v>1279</v>
      </c>
      <c r="B280" s="4" t="s">
        <v>55</v>
      </c>
      <c r="C280" s="4" t="s">
        <v>33</v>
      </c>
      <c r="D280" s="4" t="s">
        <v>34</v>
      </c>
      <c r="E280" s="4" t="s">
        <v>45</v>
      </c>
      <c r="F280" s="4">
        <v>20</v>
      </c>
      <c r="G280" s="4">
        <v>49042</v>
      </c>
      <c r="H280" s="4">
        <v>2</v>
      </c>
      <c r="I280" s="5">
        <v>46124</v>
      </c>
      <c r="J280" s="5">
        <v>46126</v>
      </c>
      <c r="K280" s="24" t="s">
        <v>15</v>
      </c>
      <c r="L280" s="39">
        <f t="shared" si="4"/>
        <v>980840</v>
      </c>
    </row>
    <row r="281" spans="1:12" ht="15.6" x14ac:dyDescent="0.3">
      <c r="A281" s="3">
        <v>1280</v>
      </c>
      <c r="B281" s="4" t="s">
        <v>59</v>
      </c>
      <c r="C281" s="4" t="s">
        <v>38</v>
      </c>
      <c r="D281" s="4" t="s">
        <v>13</v>
      </c>
      <c r="E281" s="4" t="s">
        <v>53</v>
      </c>
      <c r="F281" s="4">
        <v>9</v>
      </c>
      <c r="G281" s="4">
        <v>50</v>
      </c>
      <c r="H281" s="4">
        <v>7</v>
      </c>
      <c r="I281" s="5">
        <v>46085</v>
      </c>
      <c r="J281" s="5">
        <v>46095</v>
      </c>
      <c r="K281" s="24" t="s">
        <v>51</v>
      </c>
      <c r="L281" s="39">
        <f t="shared" si="4"/>
        <v>450</v>
      </c>
    </row>
    <row r="282" spans="1:12" ht="15.6" x14ac:dyDescent="0.3">
      <c r="A282" s="3">
        <v>1281</v>
      </c>
      <c r="B282" s="4" t="s">
        <v>55</v>
      </c>
      <c r="C282" s="4" t="s">
        <v>17</v>
      </c>
      <c r="D282" s="4" t="s">
        <v>13</v>
      </c>
      <c r="E282" s="4" t="s">
        <v>50</v>
      </c>
      <c r="F282" s="4">
        <v>6</v>
      </c>
      <c r="G282" s="4">
        <v>253</v>
      </c>
      <c r="H282" s="4">
        <v>0</v>
      </c>
      <c r="I282" s="5">
        <v>46055</v>
      </c>
      <c r="J282" s="5">
        <v>46063</v>
      </c>
      <c r="K282" s="24" t="s">
        <v>24</v>
      </c>
      <c r="L282" s="39">
        <f t="shared" si="4"/>
        <v>1518</v>
      </c>
    </row>
    <row r="283" spans="1:12" ht="15.6" x14ac:dyDescent="0.3">
      <c r="A283" s="3">
        <v>1282</v>
      </c>
      <c r="B283" s="4" t="s">
        <v>57</v>
      </c>
      <c r="C283" s="4" t="s">
        <v>43</v>
      </c>
      <c r="D283" s="4" t="s">
        <v>18</v>
      </c>
      <c r="E283" s="4" t="s">
        <v>44</v>
      </c>
      <c r="F283" s="4">
        <v>12</v>
      </c>
      <c r="G283" s="4">
        <v>3178</v>
      </c>
      <c r="H283" s="4">
        <v>10</v>
      </c>
      <c r="I283" s="5">
        <v>46176</v>
      </c>
      <c r="J283" s="5">
        <v>46177</v>
      </c>
      <c r="K283" s="24" t="s">
        <v>29</v>
      </c>
      <c r="L283" s="39">
        <f t="shared" si="4"/>
        <v>38136</v>
      </c>
    </row>
    <row r="284" spans="1:12" ht="15.6" x14ac:dyDescent="0.3">
      <c r="A284" s="3">
        <v>1283</v>
      </c>
      <c r="B284" s="4" t="s">
        <v>40</v>
      </c>
      <c r="C284" s="4" t="s">
        <v>12</v>
      </c>
      <c r="D284" s="4" t="s">
        <v>18</v>
      </c>
      <c r="E284" s="4" t="s">
        <v>23</v>
      </c>
      <c r="F284" s="4">
        <v>6</v>
      </c>
      <c r="G284" s="4">
        <v>1167</v>
      </c>
      <c r="H284" s="4">
        <v>2</v>
      </c>
      <c r="I284" s="5">
        <v>46100</v>
      </c>
      <c r="J284" s="5">
        <v>46106</v>
      </c>
      <c r="K284" s="24" t="s">
        <v>15</v>
      </c>
      <c r="L284" s="39">
        <f t="shared" si="4"/>
        <v>7002</v>
      </c>
    </row>
    <row r="285" spans="1:12" ht="15.6" x14ac:dyDescent="0.3">
      <c r="A285" s="3">
        <v>1284</v>
      </c>
      <c r="B285" s="4" t="s">
        <v>40</v>
      </c>
      <c r="C285" s="4" t="s">
        <v>25</v>
      </c>
      <c r="D285" s="4" t="s">
        <v>13</v>
      </c>
      <c r="E285" s="4" t="s">
        <v>37</v>
      </c>
      <c r="F285" s="4">
        <v>16</v>
      </c>
      <c r="G285" s="4">
        <v>419</v>
      </c>
      <c r="H285" s="4">
        <v>2</v>
      </c>
      <c r="I285" s="5">
        <v>46082</v>
      </c>
      <c r="J285" s="5">
        <v>46090</v>
      </c>
      <c r="K285" s="24" t="s">
        <v>15</v>
      </c>
      <c r="L285" s="39">
        <f t="shared" si="4"/>
        <v>6704</v>
      </c>
    </row>
    <row r="286" spans="1:12" ht="15.6" x14ac:dyDescent="0.3">
      <c r="A286" s="3">
        <v>1285</v>
      </c>
      <c r="B286" s="4" t="s">
        <v>32</v>
      </c>
      <c r="C286" s="4" t="s">
        <v>38</v>
      </c>
      <c r="D286" s="4" t="s">
        <v>13</v>
      </c>
      <c r="E286" s="4" t="s">
        <v>36</v>
      </c>
      <c r="F286" s="4">
        <v>7</v>
      </c>
      <c r="G286" s="4">
        <v>439</v>
      </c>
      <c r="H286" s="4">
        <v>15</v>
      </c>
      <c r="I286" s="5">
        <v>46055</v>
      </c>
      <c r="J286" s="5">
        <v>46058</v>
      </c>
      <c r="K286" s="24" t="s">
        <v>20</v>
      </c>
      <c r="L286" s="39">
        <f t="shared" si="4"/>
        <v>3073</v>
      </c>
    </row>
    <row r="287" spans="1:12" ht="15.6" x14ac:dyDescent="0.3">
      <c r="A287" s="3">
        <v>1286</v>
      </c>
      <c r="B287" s="4" t="s">
        <v>46</v>
      </c>
      <c r="C287" s="4" t="s">
        <v>17</v>
      </c>
      <c r="D287" s="4" t="s">
        <v>18</v>
      </c>
      <c r="E287" s="4" t="s">
        <v>56</v>
      </c>
      <c r="F287" s="4">
        <v>9</v>
      </c>
      <c r="G287" s="4">
        <v>1340</v>
      </c>
      <c r="H287" s="4">
        <v>2</v>
      </c>
      <c r="I287" s="5">
        <v>46168</v>
      </c>
      <c r="J287" s="5">
        <v>46173</v>
      </c>
      <c r="K287" s="24" t="s">
        <v>15</v>
      </c>
      <c r="L287" s="39">
        <f t="shared" si="4"/>
        <v>12060</v>
      </c>
    </row>
    <row r="288" spans="1:12" ht="15.6" x14ac:dyDescent="0.3">
      <c r="A288" s="3">
        <v>1287</v>
      </c>
      <c r="B288" s="4" t="s">
        <v>59</v>
      </c>
      <c r="C288" s="4" t="s">
        <v>31</v>
      </c>
      <c r="D288" s="4" t="s">
        <v>13</v>
      </c>
      <c r="E288" s="4" t="s">
        <v>14</v>
      </c>
      <c r="F288" s="4">
        <v>15</v>
      </c>
      <c r="G288" s="4">
        <v>251</v>
      </c>
      <c r="H288" s="4">
        <v>2</v>
      </c>
      <c r="I288" s="5">
        <v>46116</v>
      </c>
      <c r="J288" s="5">
        <v>46122</v>
      </c>
      <c r="K288" s="24" t="s">
        <v>51</v>
      </c>
      <c r="L288" s="39">
        <f t="shared" si="4"/>
        <v>3765</v>
      </c>
    </row>
    <row r="289" spans="1:12" ht="15.6" x14ac:dyDescent="0.3">
      <c r="A289" s="3">
        <v>1288</v>
      </c>
      <c r="B289" s="4" t="s">
        <v>54</v>
      </c>
      <c r="C289" s="4" t="s">
        <v>22</v>
      </c>
      <c r="D289" s="4" t="s">
        <v>34</v>
      </c>
      <c r="E289" s="4" t="s">
        <v>60</v>
      </c>
      <c r="F289" s="4">
        <v>14</v>
      </c>
      <c r="G289" s="4">
        <v>35601</v>
      </c>
      <c r="H289" s="4">
        <v>10</v>
      </c>
      <c r="I289" s="5">
        <v>46179</v>
      </c>
      <c r="J289" s="5">
        <v>46187</v>
      </c>
      <c r="K289" s="24" t="s">
        <v>29</v>
      </c>
      <c r="L289" s="39">
        <f t="shared" si="4"/>
        <v>498414</v>
      </c>
    </row>
    <row r="290" spans="1:12" ht="15.6" x14ac:dyDescent="0.3">
      <c r="A290" s="3">
        <v>1289</v>
      </c>
      <c r="B290" s="4" t="s">
        <v>26</v>
      </c>
      <c r="C290" s="4" t="s">
        <v>22</v>
      </c>
      <c r="D290" s="4" t="s">
        <v>34</v>
      </c>
      <c r="E290" s="4" t="s">
        <v>45</v>
      </c>
      <c r="F290" s="4">
        <v>19</v>
      </c>
      <c r="G290" s="4">
        <v>25336</v>
      </c>
      <c r="H290" s="4">
        <v>2</v>
      </c>
      <c r="I290" s="5">
        <v>46122</v>
      </c>
      <c r="J290" s="5">
        <v>46130</v>
      </c>
      <c r="K290" s="24" t="s">
        <v>24</v>
      </c>
      <c r="L290" s="39">
        <f t="shared" si="4"/>
        <v>481384</v>
      </c>
    </row>
    <row r="291" spans="1:12" ht="15.6" x14ac:dyDescent="0.3">
      <c r="A291" s="3">
        <v>1290</v>
      </c>
      <c r="B291" s="4" t="s">
        <v>26</v>
      </c>
      <c r="C291" s="4" t="s">
        <v>22</v>
      </c>
      <c r="D291" s="4" t="s">
        <v>34</v>
      </c>
      <c r="E291" s="4" t="s">
        <v>35</v>
      </c>
      <c r="F291" s="4">
        <v>3</v>
      </c>
      <c r="G291" s="4">
        <v>69793</v>
      </c>
      <c r="H291" s="4">
        <v>15</v>
      </c>
      <c r="I291" s="5">
        <v>46110</v>
      </c>
      <c r="J291" s="5">
        <v>46111</v>
      </c>
      <c r="K291" s="24" t="s">
        <v>29</v>
      </c>
      <c r="L291" s="39">
        <f t="shared" si="4"/>
        <v>209379</v>
      </c>
    </row>
    <row r="292" spans="1:12" ht="15.6" x14ac:dyDescent="0.3">
      <c r="A292" s="3">
        <v>1291</v>
      </c>
      <c r="B292" s="4" t="s">
        <v>21</v>
      </c>
      <c r="C292" s="4" t="s">
        <v>17</v>
      </c>
      <c r="D292" s="4" t="s">
        <v>13</v>
      </c>
      <c r="E292" s="4" t="s">
        <v>36</v>
      </c>
      <c r="F292" s="4">
        <v>17</v>
      </c>
      <c r="G292" s="4">
        <v>415</v>
      </c>
      <c r="H292" s="4">
        <v>5</v>
      </c>
      <c r="I292" s="5">
        <v>46137</v>
      </c>
      <c r="J292" s="5">
        <v>46141</v>
      </c>
      <c r="K292" s="24" t="s">
        <v>20</v>
      </c>
      <c r="L292" s="39">
        <f t="shared" si="4"/>
        <v>7055</v>
      </c>
    </row>
    <row r="293" spans="1:12" ht="15.6" x14ac:dyDescent="0.3">
      <c r="A293" s="3">
        <v>1292</v>
      </c>
      <c r="B293" s="4" t="s">
        <v>54</v>
      </c>
      <c r="C293" s="4" t="s">
        <v>33</v>
      </c>
      <c r="D293" s="4" t="s">
        <v>34</v>
      </c>
      <c r="E293" s="4" t="s">
        <v>61</v>
      </c>
      <c r="F293" s="4">
        <v>11</v>
      </c>
      <c r="G293" s="4">
        <v>25158</v>
      </c>
      <c r="H293" s="4">
        <v>5</v>
      </c>
      <c r="I293" s="5">
        <v>46186</v>
      </c>
      <c r="J293" s="5">
        <v>46193</v>
      </c>
      <c r="K293" s="24" t="s">
        <v>20</v>
      </c>
      <c r="L293" s="39">
        <f t="shared" si="4"/>
        <v>276738</v>
      </c>
    </row>
    <row r="294" spans="1:12" ht="15.6" x14ac:dyDescent="0.3">
      <c r="A294" s="3">
        <v>1293</v>
      </c>
      <c r="B294" s="4" t="s">
        <v>49</v>
      </c>
      <c r="C294" s="4" t="s">
        <v>43</v>
      </c>
      <c r="D294" s="4" t="s">
        <v>18</v>
      </c>
      <c r="E294" s="4" t="s">
        <v>23</v>
      </c>
      <c r="F294" s="4">
        <v>7</v>
      </c>
      <c r="G294" s="4">
        <v>11481</v>
      </c>
      <c r="H294" s="4">
        <v>15</v>
      </c>
      <c r="I294" s="5">
        <v>46045</v>
      </c>
      <c r="J294" s="5">
        <v>46050</v>
      </c>
      <c r="K294" s="24" t="s">
        <v>20</v>
      </c>
      <c r="L294" s="39">
        <f t="shared" si="4"/>
        <v>80367</v>
      </c>
    </row>
    <row r="295" spans="1:12" ht="15.6" x14ac:dyDescent="0.3">
      <c r="A295" s="3">
        <v>1294</v>
      </c>
      <c r="B295" s="4" t="s">
        <v>21</v>
      </c>
      <c r="C295" s="4" t="s">
        <v>12</v>
      </c>
      <c r="D295" s="4" t="s">
        <v>18</v>
      </c>
      <c r="E295" s="4" t="s">
        <v>19</v>
      </c>
      <c r="F295" s="4">
        <v>8</v>
      </c>
      <c r="G295" s="4">
        <v>14448</v>
      </c>
      <c r="H295" s="4">
        <v>10</v>
      </c>
      <c r="I295" s="5">
        <v>46181</v>
      </c>
      <c r="J295" s="5">
        <v>46189</v>
      </c>
      <c r="K295" s="24" t="s">
        <v>15</v>
      </c>
      <c r="L295" s="39">
        <f t="shared" si="4"/>
        <v>115584</v>
      </c>
    </row>
    <row r="296" spans="1:12" ht="15.6" x14ac:dyDescent="0.3">
      <c r="A296" s="3">
        <v>1295</v>
      </c>
      <c r="B296" s="4" t="s">
        <v>52</v>
      </c>
      <c r="C296" s="4" t="s">
        <v>38</v>
      </c>
      <c r="D296" s="4" t="s">
        <v>18</v>
      </c>
      <c r="E296" s="4" t="s">
        <v>28</v>
      </c>
      <c r="F296" s="4">
        <v>16</v>
      </c>
      <c r="G296" s="4">
        <v>11935</v>
      </c>
      <c r="H296" s="4">
        <v>12</v>
      </c>
      <c r="I296" s="5">
        <v>46157</v>
      </c>
      <c r="J296" s="5">
        <v>46162</v>
      </c>
      <c r="K296" s="24" t="s">
        <v>15</v>
      </c>
      <c r="L296" s="39">
        <f t="shared" si="4"/>
        <v>190960</v>
      </c>
    </row>
    <row r="297" spans="1:12" ht="15.6" x14ac:dyDescent="0.3">
      <c r="A297" s="3">
        <v>1296</v>
      </c>
      <c r="B297" s="4" t="s">
        <v>26</v>
      </c>
      <c r="C297" s="4" t="s">
        <v>38</v>
      </c>
      <c r="D297" s="4" t="s">
        <v>13</v>
      </c>
      <c r="E297" s="4" t="s">
        <v>50</v>
      </c>
      <c r="F297" s="4">
        <v>6</v>
      </c>
      <c r="G297" s="4">
        <v>201</v>
      </c>
      <c r="H297" s="4">
        <v>0</v>
      </c>
      <c r="I297" s="5">
        <v>46063</v>
      </c>
      <c r="J297" s="5">
        <v>46072</v>
      </c>
      <c r="K297" s="24" t="s">
        <v>51</v>
      </c>
      <c r="L297" s="39">
        <f t="shared" si="4"/>
        <v>1206</v>
      </c>
    </row>
    <row r="298" spans="1:12" ht="15.6" x14ac:dyDescent="0.3">
      <c r="A298" s="3">
        <v>1297</v>
      </c>
      <c r="B298" s="4" t="s">
        <v>54</v>
      </c>
      <c r="C298" s="4" t="s">
        <v>25</v>
      </c>
      <c r="D298" s="4" t="s">
        <v>34</v>
      </c>
      <c r="E298" s="4" t="s">
        <v>35</v>
      </c>
      <c r="F298" s="4">
        <v>14</v>
      </c>
      <c r="G298" s="4">
        <v>24524</v>
      </c>
      <c r="H298" s="4">
        <v>10</v>
      </c>
      <c r="I298" s="5">
        <v>46178</v>
      </c>
      <c r="J298" s="5">
        <v>46187</v>
      </c>
      <c r="K298" s="24" t="s">
        <v>29</v>
      </c>
      <c r="L298" s="39">
        <f t="shared" si="4"/>
        <v>343336</v>
      </c>
    </row>
    <row r="299" spans="1:12" ht="15.6" x14ac:dyDescent="0.3">
      <c r="A299" s="3">
        <v>1298</v>
      </c>
      <c r="B299" s="4" t="s">
        <v>21</v>
      </c>
      <c r="C299" s="4" t="s">
        <v>12</v>
      </c>
      <c r="D299" s="4" t="s">
        <v>34</v>
      </c>
      <c r="E299" s="4" t="s">
        <v>61</v>
      </c>
      <c r="F299" s="4">
        <v>19</v>
      </c>
      <c r="G299" s="4">
        <v>20745</v>
      </c>
      <c r="H299" s="4">
        <v>2</v>
      </c>
      <c r="I299" s="5">
        <v>46083</v>
      </c>
      <c r="J299" s="5">
        <v>46093</v>
      </c>
      <c r="K299" s="24" t="s">
        <v>24</v>
      </c>
      <c r="L299" s="39">
        <f t="shared" si="4"/>
        <v>394155</v>
      </c>
    </row>
    <row r="300" spans="1:12" ht="15.6" x14ac:dyDescent="0.3">
      <c r="A300" s="3">
        <v>1299</v>
      </c>
      <c r="B300" s="4" t="s">
        <v>26</v>
      </c>
      <c r="C300" s="4" t="s">
        <v>17</v>
      </c>
      <c r="D300" s="4" t="s">
        <v>18</v>
      </c>
      <c r="E300" s="4" t="s">
        <v>56</v>
      </c>
      <c r="F300" s="4">
        <v>8</v>
      </c>
      <c r="G300" s="4">
        <v>8783</v>
      </c>
      <c r="H300" s="4">
        <v>2</v>
      </c>
      <c r="I300" s="5">
        <v>46123</v>
      </c>
      <c r="J300" s="5">
        <v>46132</v>
      </c>
      <c r="K300" s="24" t="s">
        <v>15</v>
      </c>
      <c r="L300" s="39">
        <f t="shared" si="4"/>
        <v>70264</v>
      </c>
    </row>
    <row r="301" spans="1:12" ht="15.6" x14ac:dyDescent="0.3">
      <c r="A301" s="3">
        <v>1300</v>
      </c>
      <c r="B301" s="4" t="s">
        <v>47</v>
      </c>
      <c r="C301" s="4" t="s">
        <v>33</v>
      </c>
      <c r="D301" s="4" t="s">
        <v>34</v>
      </c>
      <c r="E301" s="4" t="s">
        <v>45</v>
      </c>
      <c r="F301" s="4">
        <v>20</v>
      </c>
      <c r="G301" s="4">
        <v>1392</v>
      </c>
      <c r="H301" s="4">
        <v>2</v>
      </c>
      <c r="I301" s="5">
        <v>46110</v>
      </c>
      <c r="J301" s="5">
        <v>46117</v>
      </c>
      <c r="K301" s="24" t="s">
        <v>24</v>
      </c>
      <c r="L301" s="39">
        <f t="shared" si="4"/>
        <v>27840</v>
      </c>
    </row>
    <row r="302" spans="1:12" ht="15.6" x14ac:dyDescent="0.3">
      <c r="A302" s="3">
        <v>1301</v>
      </c>
      <c r="B302" s="4" t="s">
        <v>54</v>
      </c>
      <c r="C302" s="4" t="s">
        <v>17</v>
      </c>
      <c r="D302" s="4" t="s">
        <v>18</v>
      </c>
      <c r="E302" s="4" t="s">
        <v>28</v>
      </c>
      <c r="F302" s="4">
        <v>3</v>
      </c>
      <c r="G302" s="4">
        <v>7020</v>
      </c>
      <c r="H302" s="4">
        <v>10</v>
      </c>
      <c r="I302" s="5">
        <v>46028</v>
      </c>
      <c r="J302" s="5">
        <v>46038</v>
      </c>
      <c r="K302" s="24" t="s">
        <v>24</v>
      </c>
      <c r="L302" s="39">
        <f t="shared" si="4"/>
        <v>21060</v>
      </c>
    </row>
    <row r="303" spans="1:12" ht="15.6" x14ac:dyDescent="0.3">
      <c r="A303" s="3">
        <v>1302</v>
      </c>
      <c r="B303" s="4" t="s">
        <v>57</v>
      </c>
      <c r="C303" s="4" t="s">
        <v>12</v>
      </c>
      <c r="D303" s="4" t="s">
        <v>34</v>
      </c>
      <c r="E303" s="4" t="s">
        <v>35</v>
      </c>
      <c r="F303" s="4">
        <v>9</v>
      </c>
      <c r="G303" s="4">
        <v>8500</v>
      </c>
      <c r="H303" s="4">
        <v>15</v>
      </c>
      <c r="I303" s="5">
        <v>46163</v>
      </c>
      <c r="J303" s="5">
        <v>46172</v>
      </c>
      <c r="K303" s="24" t="s">
        <v>24</v>
      </c>
      <c r="L303" s="39">
        <f t="shared" si="4"/>
        <v>76500</v>
      </c>
    </row>
    <row r="304" spans="1:12" ht="15.6" x14ac:dyDescent="0.3">
      <c r="A304" s="3">
        <v>1303</v>
      </c>
      <c r="B304" s="4" t="s">
        <v>57</v>
      </c>
      <c r="C304" s="4" t="s">
        <v>38</v>
      </c>
      <c r="D304" s="4" t="s">
        <v>34</v>
      </c>
      <c r="E304" s="4" t="s">
        <v>35</v>
      </c>
      <c r="F304" s="4">
        <v>13</v>
      </c>
      <c r="G304" s="4">
        <v>5170</v>
      </c>
      <c r="H304" s="4">
        <v>2</v>
      </c>
      <c r="I304" s="5">
        <v>46124</v>
      </c>
      <c r="J304" s="5">
        <v>46127</v>
      </c>
      <c r="K304" s="24" t="s">
        <v>15</v>
      </c>
      <c r="L304" s="39">
        <f t="shared" si="4"/>
        <v>67210</v>
      </c>
    </row>
    <row r="305" spans="1:12" ht="15.6" x14ac:dyDescent="0.3">
      <c r="A305" s="3">
        <v>1304</v>
      </c>
      <c r="B305" s="4" t="s">
        <v>59</v>
      </c>
      <c r="C305" s="4" t="s">
        <v>25</v>
      </c>
      <c r="D305" s="4" t="s">
        <v>13</v>
      </c>
      <c r="E305" s="4" t="s">
        <v>36</v>
      </c>
      <c r="F305" s="4">
        <v>20</v>
      </c>
      <c r="G305" s="4">
        <v>368</v>
      </c>
      <c r="H305" s="4">
        <v>7</v>
      </c>
      <c r="I305" s="5">
        <v>46042</v>
      </c>
      <c r="J305" s="5">
        <v>46051</v>
      </c>
      <c r="K305" s="24" t="s">
        <v>51</v>
      </c>
      <c r="L305" s="39">
        <f t="shared" si="4"/>
        <v>7360</v>
      </c>
    </row>
    <row r="306" spans="1:12" ht="15.6" x14ac:dyDescent="0.3">
      <c r="A306" s="3">
        <v>1305</v>
      </c>
      <c r="B306" s="4" t="s">
        <v>58</v>
      </c>
      <c r="C306" s="4" t="s">
        <v>31</v>
      </c>
      <c r="D306" s="4" t="s">
        <v>34</v>
      </c>
      <c r="E306" s="4" t="s">
        <v>60</v>
      </c>
      <c r="F306" s="4">
        <v>20</v>
      </c>
      <c r="G306" s="4">
        <v>31406</v>
      </c>
      <c r="H306" s="4">
        <v>15</v>
      </c>
      <c r="I306" s="5">
        <v>46146</v>
      </c>
      <c r="J306" s="5">
        <v>46154</v>
      </c>
      <c r="K306" s="24" t="s">
        <v>51</v>
      </c>
      <c r="L306" s="39">
        <f t="shared" si="4"/>
        <v>628120</v>
      </c>
    </row>
    <row r="307" spans="1:12" ht="15.6" x14ac:dyDescent="0.3">
      <c r="A307" s="3">
        <v>1306</v>
      </c>
      <c r="B307" s="4" t="s">
        <v>54</v>
      </c>
      <c r="C307" s="4" t="s">
        <v>43</v>
      </c>
      <c r="D307" s="4" t="s">
        <v>13</v>
      </c>
      <c r="E307" s="4" t="s">
        <v>36</v>
      </c>
      <c r="F307" s="4">
        <v>1</v>
      </c>
      <c r="G307" s="4">
        <v>332</v>
      </c>
      <c r="H307" s="4">
        <v>0</v>
      </c>
      <c r="I307" s="5">
        <v>46191</v>
      </c>
      <c r="J307" s="5">
        <v>46194</v>
      </c>
      <c r="K307" s="24" t="s">
        <v>20</v>
      </c>
      <c r="L307" s="39">
        <f t="shared" si="4"/>
        <v>332</v>
      </c>
    </row>
    <row r="308" spans="1:12" ht="15.6" x14ac:dyDescent="0.3">
      <c r="A308" s="3">
        <v>1307</v>
      </c>
      <c r="B308" s="4" t="s">
        <v>57</v>
      </c>
      <c r="C308" s="4" t="s">
        <v>43</v>
      </c>
      <c r="D308" s="4" t="s">
        <v>34</v>
      </c>
      <c r="E308" s="4" t="s">
        <v>35</v>
      </c>
      <c r="F308" s="4">
        <v>18</v>
      </c>
      <c r="G308" s="4">
        <v>7541</v>
      </c>
      <c r="H308" s="4">
        <v>12</v>
      </c>
      <c r="I308" s="5">
        <v>46048</v>
      </c>
      <c r="J308" s="5">
        <v>46051</v>
      </c>
      <c r="K308" s="24" t="s">
        <v>51</v>
      </c>
      <c r="L308" s="39">
        <f t="shared" si="4"/>
        <v>135738</v>
      </c>
    </row>
    <row r="309" spans="1:12" ht="15.6" x14ac:dyDescent="0.3">
      <c r="A309" s="3">
        <v>1308</v>
      </c>
      <c r="B309" s="4" t="s">
        <v>30</v>
      </c>
      <c r="C309" s="4" t="s">
        <v>22</v>
      </c>
      <c r="D309" s="4" t="s">
        <v>34</v>
      </c>
      <c r="E309" s="4" t="s">
        <v>41</v>
      </c>
      <c r="F309" s="4">
        <v>12</v>
      </c>
      <c r="G309" s="4">
        <v>66075</v>
      </c>
      <c r="H309" s="4">
        <v>5</v>
      </c>
      <c r="I309" s="5">
        <v>46129</v>
      </c>
      <c r="J309" s="5">
        <v>46135</v>
      </c>
      <c r="K309" s="24" t="s">
        <v>20</v>
      </c>
      <c r="L309" s="39">
        <f t="shared" si="4"/>
        <v>792900</v>
      </c>
    </row>
    <row r="310" spans="1:12" ht="15.6" x14ac:dyDescent="0.3">
      <c r="A310" s="3">
        <v>1309</v>
      </c>
      <c r="B310" s="4" t="s">
        <v>29</v>
      </c>
      <c r="C310" s="4" t="s">
        <v>31</v>
      </c>
      <c r="D310" s="4" t="s">
        <v>13</v>
      </c>
      <c r="E310" s="4" t="s">
        <v>50</v>
      </c>
      <c r="F310" s="4">
        <v>2</v>
      </c>
      <c r="G310" s="4">
        <v>35</v>
      </c>
      <c r="H310" s="4">
        <v>5</v>
      </c>
      <c r="I310" s="5">
        <v>46197</v>
      </c>
      <c r="J310" s="5">
        <v>46198</v>
      </c>
      <c r="K310" s="24" t="s">
        <v>24</v>
      </c>
      <c r="L310" s="39">
        <f t="shared" si="4"/>
        <v>70</v>
      </c>
    </row>
    <row r="311" spans="1:12" ht="15.6" x14ac:dyDescent="0.3">
      <c r="A311" s="3">
        <v>1310</v>
      </c>
      <c r="B311" s="4" t="s">
        <v>49</v>
      </c>
      <c r="C311" s="4" t="s">
        <v>17</v>
      </c>
      <c r="D311" s="4" t="s">
        <v>18</v>
      </c>
      <c r="E311" s="4" t="s">
        <v>56</v>
      </c>
      <c r="F311" s="4">
        <v>19</v>
      </c>
      <c r="G311" s="4">
        <v>12691</v>
      </c>
      <c r="H311" s="4">
        <v>0</v>
      </c>
      <c r="I311" s="5">
        <v>46181</v>
      </c>
      <c r="J311" s="5">
        <v>46189</v>
      </c>
      <c r="K311" s="24" t="s">
        <v>29</v>
      </c>
      <c r="L311" s="39">
        <f t="shared" si="4"/>
        <v>241129</v>
      </c>
    </row>
    <row r="312" spans="1:12" ht="15.6" x14ac:dyDescent="0.3">
      <c r="A312" s="3">
        <v>1311</v>
      </c>
      <c r="B312" s="4" t="s">
        <v>55</v>
      </c>
      <c r="C312" s="4" t="s">
        <v>12</v>
      </c>
      <c r="D312" s="4" t="s">
        <v>13</v>
      </c>
      <c r="E312" s="4" t="s">
        <v>14</v>
      </c>
      <c r="F312" s="4">
        <v>2</v>
      </c>
      <c r="G312" s="4">
        <v>209</v>
      </c>
      <c r="H312" s="4">
        <v>0</v>
      </c>
      <c r="I312" s="5">
        <v>46173</v>
      </c>
      <c r="J312" s="5">
        <v>46176</v>
      </c>
      <c r="K312" s="24" t="s">
        <v>20</v>
      </c>
      <c r="L312" s="39">
        <f t="shared" si="4"/>
        <v>418</v>
      </c>
    </row>
    <row r="313" spans="1:12" ht="15.6" x14ac:dyDescent="0.3">
      <c r="A313" s="3">
        <v>1312</v>
      </c>
      <c r="B313" s="4" t="s">
        <v>57</v>
      </c>
      <c r="C313" s="4" t="s">
        <v>22</v>
      </c>
      <c r="D313" s="4" t="s">
        <v>18</v>
      </c>
      <c r="E313" s="4" t="s">
        <v>56</v>
      </c>
      <c r="F313" s="4">
        <v>20</v>
      </c>
      <c r="G313" s="4">
        <v>3274</v>
      </c>
      <c r="H313" s="4">
        <v>2</v>
      </c>
      <c r="I313" s="5">
        <v>46148</v>
      </c>
      <c r="J313" s="5">
        <v>46156</v>
      </c>
      <c r="K313" s="24" t="s">
        <v>24</v>
      </c>
      <c r="L313" s="39">
        <f t="shared" si="4"/>
        <v>65480</v>
      </c>
    </row>
    <row r="314" spans="1:12" ht="15.6" x14ac:dyDescent="0.3">
      <c r="A314" s="3">
        <v>1313</v>
      </c>
      <c r="B314" s="4" t="s">
        <v>59</v>
      </c>
      <c r="C314" s="4" t="s">
        <v>22</v>
      </c>
      <c r="D314" s="4" t="s">
        <v>18</v>
      </c>
      <c r="E314" s="4" t="s">
        <v>56</v>
      </c>
      <c r="F314" s="4">
        <v>6</v>
      </c>
      <c r="G314" s="4">
        <v>10864</v>
      </c>
      <c r="H314" s="4">
        <v>10</v>
      </c>
      <c r="I314" s="5">
        <v>46041</v>
      </c>
      <c r="J314" s="5">
        <v>46049</v>
      </c>
      <c r="K314" s="24" t="s">
        <v>15</v>
      </c>
      <c r="L314" s="39">
        <f t="shared" si="4"/>
        <v>65184</v>
      </c>
    </row>
    <row r="315" spans="1:12" ht="15.6" x14ac:dyDescent="0.3">
      <c r="A315" s="3">
        <v>1314</v>
      </c>
      <c r="B315" s="4" t="s">
        <v>52</v>
      </c>
      <c r="C315" s="4" t="s">
        <v>33</v>
      </c>
      <c r="D315" s="4" t="s">
        <v>18</v>
      </c>
      <c r="E315" s="4" t="s">
        <v>19</v>
      </c>
      <c r="F315" s="4">
        <v>10</v>
      </c>
      <c r="G315" s="4">
        <v>6328</v>
      </c>
      <c r="H315" s="4">
        <v>2</v>
      </c>
      <c r="I315" s="5">
        <v>46196</v>
      </c>
      <c r="J315" s="5">
        <v>46197</v>
      </c>
      <c r="K315" s="24" t="s">
        <v>29</v>
      </c>
      <c r="L315" s="39">
        <f t="shared" si="4"/>
        <v>63280</v>
      </c>
    </row>
    <row r="316" spans="1:12" ht="15.6" x14ac:dyDescent="0.3">
      <c r="A316" s="3">
        <v>1315</v>
      </c>
      <c r="B316" s="4" t="s">
        <v>49</v>
      </c>
      <c r="C316" s="4" t="s">
        <v>31</v>
      </c>
      <c r="D316" s="4" t="s">
        <v>34</v>
      </c>
      <c r="E316" s="4" t="s">
        <v>41</v>
      </c>
      <c r="F316" s="4">
        <v>14</v>
      </c>
      <c r="G316" s="4">
        <v>57670</v>
      </c>
      <c r="H316" s="4">
        <v>2</v>
      </c>
      <c r="I316" s="5">
        <v>46186</v>
      </c>
      <c r="J316" s="5">
        <v>46196</v>
      </c>
      <c r="K316" s="24" t="s">
        <v>15</v>
      </c>
      <c r="L316" s="39">
        <f t="shared" si="4"/>
        <v>807380</v>
      </c>
    </row>
    <row r="317" spans="1:12" ht="15.6" x14ac:dyDescent="0.3">
      <c r="A317" s="3">
        <v>1316</v>
      </c>
      <c r="B317" s="4" t="s">
        <v>46</v>
      </c>
      <c r="C317" s="4" t="s">
        <v>12</v>
      </c>
      <c r="D317" s="4" t="s">
        <v>18</v>
      </c>
      <c r="E317" s="4" t="s">
        <v>28</v>
      </c>
      <c r="F317" s="4">
        <v>7</v>
      </c>
      <c r="G317" s="4">
        <v>9838</v>
      </c>
      <c r="H317" s="4">
        <v>7</v>
      </c>
      <c r="I317" s="5">
        <v>46078</v>
      </c>
      <c r="J317" s="5">
        <v>46085</v>
      </c>
      <c r="K317" s="24" t="s">
        <v>20</v>
      </c>
      <c r="L317" s="39">
        <f t="shared" si="4"/>
        <v>68866</v>
      </c>
    </row>
    <row r="318" spans="1:12" ht="15.6" x14ac:dyDescent="0.3">
      <c r="A318" s="3">
        <v>1317</v>
      </c>
      <c r="B318" s="4" t="s">
        <v>59</v>
      </c>
      <c r="C318" s="4" t="s">
        <v>33</v>
      </c>
      <c r="D318" s="4" t="s">
        <v>34</v>
      </c>
      <c r="E318" s="4" t="s">
        <v>41</v>
      </c>
      <c r="F318" s="4">
        <v>7</v>
      </c>
      <c r="G318" s="4">
        <v>67339</v>
      </c>
      <c r="H318" s="4">
        <v>5</v>
      </c>
      <c r="I318" s="5">
        <v>46159</v>
      </c>
      <c r="J318" s="5">
        <v>46169</v>
      </c>
      <c r="K318" s="24" t="s">
        <v>51</v>
      </c>
      <c r="L318" s="39">
        <f t="shared" si="4"/>
        <v>471373</v>
      </c>
    </row>
    <row r="319" spans="1:12" ht="15.6" x14ac:dyDescent="0.3">
      <c r="A319" s="3">
        <v>1318</v>
      </c>
      <c r="B319" s="4" t="s">
        <v>11</v>
      </c>
      <c r="C319" s="4" t="s">
        <v>43</v>
      </c>
      <c r="D319" s="4" t="s">
        <v>13</v>
      </c>
      <c r="E319" s="4" t="s">
        <v>50</v>
      </c>
      <c r="F319" s="4">
        <v>4</v>
      </c>
      <c r="G319" s="4">
        <v>38</v>
      </c>
      <c r="H319" s="4">
        <v>12</v>
      </c>
      <c r="I319" s="5">
        <v>46169</v>
      </c>
      <c r="J319" s="5">
        <v>46175</v>
      </c>
      <c r="K319" s="24" t="s">
        <v>29</v>
      </c>
      <c r="L319" s="39">
        <f t="shared" si="4"/>
        <v>152</v>
      </c>
    </row>
    <row r="320" spans="1:12" ht="15.6" x14ac:dyDescent="0.3">
      <c r="A320" s="3">
        <v>1319</v>
      </c>
      <c r="B320" s="4" t="s">
        <v>21</v>
      </c>
      <c r="C320" s="4" t="s">
        <v>17</v>
      </c>
      <c r="D320" s="4" t="s">
        <v>34</v>
      </c>
      <c r="E320" s="4" t="s">
        <v>61</v>
      </c>
      <c r="F320" s="4">
        <v>17</v>
      </c>
      <c r="G320" s="4">
        <v>58407</v>
      </c>
      <c r="H320" s="4">
        <v>7</v>
      </c>
      <c r="I320" s="5">
        <v>46094</v>
      </c>
      <c r="J320" s="5">
        <v>46102</v>
      </c>
      <c r="K320" s="24" t="s">
        <v>15</v>
      </c>
      <c r="L320" s="39">
        <f t="shared" si="4"/>
        <v>992919</v>
      </c>
    </row>
    <row r="321" spans="1:12" ht="15.6" x14ac:dyDescent="0.3">
      <c r="A321" s="3">
        <v>1320</v>
      </c>
      <c r="B321" s="4" t="s">
        <v>47</v>
      </c>
      <c r="C321" s="4" t="s">
        <v>38</v>
      </c>
      <c r="D321" s="4" t="s">
        <v>13</v>
      </c>
      <c r="E321" s="4" t="s">
        <v>36</v>
      </c>
      <c r="F321" s="4">
        <v>20</v>
      </c>
      <c r="G321" s="4">
        <v>55</v>
      </c>
      <c r="H321" s="4">
        <v>7</v>
      </c>
      <c r="I321" s="5">
        <v>46183</v>
      </c>
      <c r="J321" s="5">
        <v>46186</v>
      </c>
      <c r="K321" s="24" t="s">
        <v>20</v>
      </c>
      <c r="L321" s="39">
        <f t="shared" si="4"/>
        <v>1100</v>
      </c>
    </row>
    <row r="322" spans="1:12" ht="15.6" x14ac:dyDescent="0.3">
      <c r="A322" s="3">
        <v>1321</v>
      </c>
      <c r="B322" s="4" t="s">
        <v>32</v>
      </c>
      <c r="C322" s="4" t="s">
        <v>22</v>
      </c>
      <c r="D322" s="4" t="s">
        <v>18</v>
      </c>
      <c r="E322" s="4" t="s">
        <v>19</v>
      </c>
      <c r="F322" s="4">
        <v>8</v>
      </c>
      <c r="G322" s="4">
        <v>5619</v>
      </c>
      <c r="H322" s="4">
        <v>7</v>
      </c>
      <c r="I322" s="5">
        <v>46107</v>
      </c>
      <c r="J322" s="5">
        <v>46109</v>
      </c>
      <c r="K322" s="24" t="s">
        <v>51</v>
      </c>
      <c r="L322" s="39">
        <f t="shared" si="4"/>
        <v>44952</v>
      </c>
    </row>
    <row r="323" spans="1:12" ht="15.6" x14ac:dyDescent="0.3">
      <c r="A323" s="3">
        <v>1322</v>
      </c>
      <c r="B323" s="4" t="s">
        <v>27</v>
      </c>
      <c r="C323" s="4" t="s">
        <v>12</v>
      </c>
      <c r="D323" s="4" t="s">
        <v>18</v>
      </c>
      <c r="E323" s="4" t="s">
        <v>23</v>
      </c>
      <c r="F323" s="4">
        <v>14</v>
      </c>
      <c r="G323" s="4">
        <v>9081</v>
      </c>
      <c r="H323" s="4">
        <v>15</v>
      </c>
      <c r="I323" s="5">
        <v>46141</v>
      </c>
      <c r="J323" s="5">
        <v>46146</v>
      </c>
      <c r="K323" s="24" t="s">
        <v>15</v>
      </c>
      <c r="L323" s="39">
        <f t="shared" ref="L323:L386" si="5">(F323*G323)</f>
        <v>127134</v>
      </c>
    </row>
    <row r="324" spans="1:12" ht="15.6" x14ac:dyDescent="0.3">
      <c r="A324" s="3">
        <v>1323</v>
      </c>
      <c r="B324" s="4" t="s">
        <v>57</v>
      </c>
      <c r="C324" s="4" t="s">
        <v>38</v>
      </c>
      <c r="D324" s="4" t="s">
        <v>34</v>
      </c>
      <c r="E324" s="4" t="s">
        <v>61</v>
      </c>
      <c r="F324" s="4">
        <v>2</v>
      </c>
      <c r="G324" s="4">
        <v>32074</v>
      </c>
      <c r="H324" s="4">
        <v>10</v>
      </c>
      <c r="I324" s="5">
        <v>46073</v>
      </c>
      <c r="J324" s="5">
        <v>46078</v>
      </c>
      <c r="K324" s="24" t="s">
        <v>15</v>
      </c>
      <c r="L324" s="39">
        <f t="shared" si="5"/>
        <v>64148</v>
      </c>
    </row>
    <row r="325" spans="1:12" ht="15.6" x14ac:dyDescent="0.3">
      <c r="A325" s="3">
        <v>1324</v>
      </c>
      <c r="B325" s="4" t="s">
        <v>32</v>
      </c>
      <c r="C325" s="4" t="s">
        <v>22</v>
      </c>
      <c r="D325" s="4" t="s">
        <v>18</v>
      </c>
      <c r="E325" s="4" t="s">
        <v>19</v>
      </c>
      <c r="F325" s="4">
        <v>1</v>
      </c>
      <c r="G325" s="4">
        <v>4286</v>
      </c>
      <c r="H325" s="4">
        <v>15</v>
      </c>
      <c r="I325" s="5">
        <v>46053</v>
      </c>
      <c r="J325" s="5">
        <v>46056</v>
      </c>
      <c r="K325" s="24" t="s">
        <v>20</v>
      </c>
      <c r="L325" s="39">
        <f t="shared" si="5"/>
        <v>4286</v>
      </c>
    </row>
    <row r="326" spans="1:12" ht="15.6" x14ac:dyDescent="0.3">
      <c r="A326" s="3">
        <v>1325</v>
      </c>
      <c r="B326" s="4" t="s">
        <v>48</v>
      </c>
      <c r="C326" s="4" t="s">
        <v>43</v>
      </c>
      <c r="D326" s="4" t="s">
        <v>34</v>
      </c>
      <c r="E326" s="4" t="s">
        <v>39</v>
      </c>
      <c r="F326" s="4">
        <v>9</v>
      </c>
      <c r="G326" s="4">
        <v>58442</v>
      </c>
      <c r="H326" s="4">
        <v>12</v>
      </c>
      <c r="I326" s="5">
        <v>46076</v>
      </c>
      <c r="J326" s="5">
        <v>46085</v>
      </c>
      <c r="K326" s="24" t="s">
        <v>20</v>
      </c>
      <c r="L326" s="39">
        <f t="shared" si="5"/>
        <v>525978</v>
      </c>
    </row>
    <row r="327" spans="1:12" ht="15.6" x14ac:dyDescent="0.3">
      <c r="A327" s="3">
        <v>1326</v>
      </c>
      <c r="B327" s="4" t="s">
        <v>26</v>
      </c>
      <c r="C327" s="4" t="s">
        <v>17</v>
      </c>
      <c r="D327" s="4" t="s">
        <v>18</v>
      </c>
      <c r="E327" s="4" t="s">
        <v>44</v>
      </c>
      <c r="F327" s="4">
        <v>18</v>
      </c>
      <c r="G327" s="4">
        <v>1830</v>
      </c>
      <c r="H327" s="4">
        <v>10</v>
      </c>
      <c r="I327" s="5">
        <v>46165</v>
      </c>
      <c r="J327" s="5">
        <v>46172</v>
      </c>
      <c r="K327" s="24" t="s">
        <v>15</v>
      </c>
      <c r="L327" s="39">
        <f t="shared" si="5"/>
        <v>32940</v>
      </c>
    </row>
    <row r="328" spans="1:12" ht="15.6" x14ac:dyDescent="0.3">
      <c r="A328" s="3">
        <v>1327</v>
      </c>
      <c r="B328" s="4" t="s">
        <v>48</v>
      </c>
      <c r="C328" s="4" t="s">
        <v>12</v>
      </c>
      <c r="D328" s="4" t="s">
        <v>13</v>
      </c>
      <c r="E328" s="4" t="s">
        <v>53</v>
      </c>
      <c r="F328" s="4">
        <v>15</v>
      </c>
      <c r="G328" s="4">
        <v>449</v>
      </c>
      <c r="H328" s="4">
        <v>5</v>
      </c>
      <c r="I328" s="5">
        <v>46152</v>
      </c>
      <c r="J328" s="5">
        <v>46153</v>
      </c>
      <c r="K328" s="24" t="s">
        <v>15</v>
      </c>
      <c r="L328" s="39">
        <f t="shared" si="5"/>
        <v>6735</v>
      </c>
    </row>
    <row r="329" spans="1:12" ht="15.6" x14ac:dyDescent="0.3">
      <c r="A329" s="3">
        <v>1328</v>
      </c>
      <c r="B329" s="4" t="s">
        <v>16</v>
      </c>
      <c r="C329" s="4" t="s">
        <v>38</v>
      </c>
      <c r="D329" s="4" t="s">
        <v>13</v>
      </c>
      <c r="E329" s="4" t="s">
        <v>36</v>
      </c>
      <c r="F329" s="4">
        <v>4</v>
      </c>
      <c r="G329" s="4">
        <v>132</v>
      </c>
      <c r="H329" s="4">
        <v>0</v>
      </c>
      <c r="I329" s="5">
        <v>46109</v>
      </c>
      <c r="J329" s="5">
        <v>46114</v>
      </c>
      <c r="K329" s="24" t="s">
        <v>29</v>
      </c>
      <c r="L329" s="39">
        <f t="shared" si="5"/>
        <v>528</v>
      </c>
    </row>
    <row r="330" spans="1:12" ht="15.6" x14ac:dyDescent="0.3">
      <c r="A330" s="3">
        <v>1329</v>
      </c>
      <c r="B330" s="4" t="s">
        <v>30</v>
      </c>
      <c r="C330" s="4" t="s">
        <v>43</v>
      </c>
      <c r="D330" s="4" t="s">
        <v>13</v>
      </c>
      <c r="E330" s="4" t="s">
        <v>53</v>
      </c>
      <c r="F330" s="4">
        <v>18</v>
      </c>
      <c r="G330" s="4">
        <v>227</v>
      </c>
      <c r="H330" s="4">
        <v>5</v>
      </c>
      <c r="I330" s="5">
        <v>46126</v>
      </c>
      <c r="J330" s="5">
        <v>46136</v>
      </c>
      <c r="K330" s="24" t="s">
        <v>29</v>
      </c>
      <c r="L330" s="39">
        <f t="shared" si="5"/>
        <v>4086</v>
      </c>
    </row>
    <row r="331" spans="1:12" ht="15.6" x14ac:dyDescent="0.3">
      <c r="A331" s="3">
        <v>1330</v>
      </c>
      <c r="B331" s="4" t="s">
        <v>49</v>
      </c>
      <c r="C331" s="4" t="s">
        <v>17</v>
      </c>
      <c r="D331" s="4" t="s">
        <v>18</v>
      </c>
      <c r="E331" s="4" t="s">
        <v>19</v>
      </c>
      <c r="F331" s="4">
        <v>13</v>
      </c>
      <c r="G331" s="4">
        <v>12071</v>
      </c>
      <c r="H331" s="4">
        <v>0</v>
      </c>
      <c r="I331" s="5">
        <v>46032</v>
      </c>
      <c r="J331" s="5">
        <v>46036</v>
      </c>
      <c r="K331" s="24" t="s">
        <v>51</v>
      </c>
      <c r="L331" s="39">
        <f t="shared" si="5"/>
        <v>156923</v>
      </c>
    </row>
    <row r="332" spans="1:12" ht="15.6" x14ac:dyDescent="0.3">
      <c r="A332" s="3">
        <v>1331</v>
      </c>
      <c r="B332" s="4" t="s">
        <v>21</v>
      </c>
      <c r="C332" s="4" t="s">
        <v>25</v>
      </c>
      <c r="D332" s="4" t="s">
        <v>34</v>
      </c>
      <c r="E332" s="4" t="s">
        <v>61</v>
      </c>
      <c r="F332" s="4">
        <v>2</v>
      </c>
      <c r="G332" s="4">
        <v>43557</v>
      </c>
      <c r="H332" s="4">
        <v>2</v>
      </c>
      <c r="I332" s="5">
        <v>46190</v>
      </c>
      <c r="J332" s="5">
        <v>46200</v>
      </c>
      <c r="K332" s="24" t="s">
        <v>15</v>
      </c>
      <c r="L332" s="39">
        <f t="shared" si="5"/>
        <v>87114</v>
      </c>
    </row>
    <row r="333" spans="1:12" ht="15.6" x14ac:dyDescent="0.3">
      <c r="A333" s="3">
        <v>1332</v>
      </c>
      <c r="B333" s="4" t="s">
        <v>29</v>
      </c>
      <c r="C333" s="4" t="s">
        <v>43</v>
      </c>
      <c r="D333" s="4" t="s">
        <v>13</v>
      </c>
      <c r="E333" s="4" t="s">
        <v>50</v>
      </c>
      <c r="F333" s="4">
        <v>7</v>
      </c>
      <c r="G333" s="4">
        <v>439</v>
      </c>
      <c r="H333" s="4">
        <v>2</v>
      </c>
      <c r="I333" s="5">
        <v>46154</v>
      </c>
      <c r="J333" s="5">
        <v>46157</v>
      </c>
      <c r="K333" s="24" t="s">
        <v>15</v>
      </c>
      <c r="L333" s="39">
        <f t="shared" si="5"/>
        <v>3073</v>
      </c>
    </row>
    <row r="334" spans="1:12" ht="15.6" x14ac:dyDescent="0.3">
      <c r="A334" s="3">
        <v>1333</v>
      </c>
      <c r="B334" s="4" t="s">
        <v>29</v>
      </c>
      <c r="C334" s="4" t="s">
        <v>38</v>
      </c>
      <c r="D334" s="4" t="s">
        <v>13</v>
      </c>
      <c r="E334" s="4" t="s">
        <v>53</v>
      </c>
      <c r="F334" s="4">
        <v>20</v>
      </c>
      <c r="G334" s="4">
        <v>416</v>
      </c>
      <c r="H334" s="4">
        <v>12</v>
      </c>
      <c r="I334" s="5">
        <v>46145</v>
      </c>
      <c r="J334" s="5">
        <v>46146</v>
      </c>
      <c r="K334" s="24" t="s">
        <v>51</v>
      </c>
      <c r="L334" s="39">
        <f t="shared" si="5"/>
        <v>8320</v>
      </c>
    </row>
    <row r="335" spans="1:12" ht="15.6" x14ac:dyDescent="0.3">
      <c r="A335" s="3">
        <v>1334</v>
      </c>
      <c r="B335" s="4" t="s">
        <v>40</v>
      </c>
      <c r="C335" s="4" t="s">
        <v>12</v>
      </c>
      <c r="D335" s="4" t="s">
        <v>34</v>
      </c>
      <c r="E335" s="4" t="s">
        <v>41</v>
      </c>
      <c r="F335" s="4">
        <v>15</v>
      </c>
      <c r="G335" s="4">
        <v>39853</v>
      </c>
      <c r="H335" s="4">
        <v>7</v>
      </c>
      <c r="I335" s="5">
        <v>46038</v>
      </c>
      <c r="J335" s="5">
        <v>46047</v>
      </c>
      <c r="K335" s="24" t="s">
        <v>51</v>
      </c>
      <c r="L335" s="39">
        <f t="shared" si="5"/>
        <v>597795</v>
      </c>
    </row>
    <row r="336" spans="1:12" ht="15.6" x14ac:dyDescent="0.3">
      <c r="A336" s="3">
        <v>1335</v>
      </c>
      <c r="B336" s="4" t="s">
        <v>47</v>
      </c>
      <c r="C336" s="4" t="s">
        <v>17</v>
      </c>
      <c r="D336" s="4" t="s">
        <v>18</v>
      </c>
      <c r="E336" s="4" t="s">
        <v>19</v>
      </c>
      <c r="F336" s="4">
        <v>9</v>
      </c>
      <c r="G336" s="4">
        <v>1495</v>
      </c>
      <c r="H336" s="4">
        <v>12</v>
      </c>
      <c r="I336" s="5">
        <v>46168</v>
      </c>
      <c r="J336" s="5">
        <v>46173</v>
      </c>
      <c r="K336" s="24" t="s">
        <v>15</v>
      </c>
      <c r="L336" s="39">
        <f t="shared" si="5"/>
        <v>13455</v>
      </c>
    </row>
    <row r="337" spans="1:12" ht="15.6" x14ac:dyDescent="0.3">
      <c r="A337" s="3">
        <v>1336</v>
      </c>
      <c r="B337" s="4" t="s">
        <v>16</v>
      </c>
      <c r="C337" s="4" t="s">
        <v>25</v>
      </c>
      <c r="D337" s="4" t="s">
        <v>18</v>
      </c>
      <c r="E337" s="4" t="s">
        <v>56</v>
      </c>
      <c r="F337" s="4">
        <v>10</v>
      </c>
      <c r="G337" s="4">
        <v>5624</v>
      </c>
      <c r="H337" s="4">
        <v>0</v>
      </c>
      <c r="I337" s="5">
        <v>46086</v>
      </c>
      <c r="J337" s="5">
        <v>46092</v>
      </c>
      <c r="K337" s="24" t="s">
        <v>29</v>
      </c>
      <c r="L337" s="39">
        <f t="shared" si="5"/>
        <v>56240</v>
      </c>
    </row>
    <row r="338" spans="1:12" ht="15.6" x14ac:dyDescent="0.3">
      <c r="A338" s="3">
        <v>1337</v>
      </c>
      <c r="B338" s="4" t="s">
        <v>16</v>
      </c>
      <c r="C338" s="4" t="s">
        <v>12</v>
      </c>
      <c r="D338" s="4" t="s">
        <v>13</v>
      </c>
      <c r="E338" s="4" t="s">
        <v>53</v>
      </c>
      <c r="F338" s="4">
        <v>14</v>
      </c>
      <c r="G338" s="4">
        <v>373</v>
      </c>
      <c r="H338" s="4">
        <v>10</v>
      </c>
      <c r="I338" s="5">
        <v>46074</v>
      </c>
      <c r="J338" s="5">
        <v>46080</v>
      </c>
      <c r="K338" s="24" t="s">
        <v>29</v>
      </c>
      <c r="L338" s="39">
        <f t="shared" si="5"/>
        <v>5222</v>
      </c>
    </row>
    <row r="339" spans="1:12" ht="15.6" x14ac:dyDescent="0.3">
      <c r="A339" s="3">
        <v>1338</v>
      </c>
      <c r="B339" s="4" t="s">
        <v>59</v>
      </c>
      <c r="C339" s="4" t="s">
        <v>25</v>
      </c>
      <c r="D339" s="4" t="s">
        <v>34</v>
      </c>
      <c r="E339" s="4" t="s">
        <v>60</v>
      </c>
      <c r="F339" s="4">
        <v>10</v>
      </c>
      <c r="G339" s="4">
        <v>16719</v>
      </c>
      <c r="H339" s="4">
        <v>5</v>
      </c>
      <c r="I339" s="5">
        <v>46177</v>
      </c>
      <c r="J339" s="5">
        <v>46179</v>
      </c>
      <c r="K339" s="24" t="s">
        <v>15</v>
      </c>
      <c r="L339" s="39">
        <f t="shared" si="5"/>
        <v>167190</v>
      </c>
    </row>
    <row r="340" spans="1:12" ht="15.6" x14ac:dyDescent="0.3">
      <c r="A340" s="3">
        <v>1339</v>
      </c>
      <c r="B340" s="4" t="s">
        <v>32</v>
      </c>
      <c r="C340" s="4" t="s">
        <v>25</v>
      </c>
      <c r="D340" s="4" t="s">
        <v>13</v>
      </c>
      <c r="E340" s="4" t="s">
        <v>14</v>
      </c>
      <c r="F340" s="4">
        <v>6</v>
      </c>
      <c r="G340" s="4">
        <v>302</v>
      </c>
      <c r="H340" s="4">
        <v>5</v>
      </c>
      <c r="I340" s="5">
        <v>46142</v>
      </c>
      <c r="J340" s="5">
        <v>46148</v>
      </c>
      <c r="K340" s="24" t="s">
        <v>20</v>
      </c>
      <c r="L340" s="39">
        <f t="shared" si="5"/>
        <v>1812</v>
      </c>
    </row>
    <row r="341" spans="1:12" ht="15.6" x14ac:dyDescent="0.3">
      <c r="A341" s="3">
        <v>1340</v>
      </c>
      <c r="B341" s="4" t="s">
        <v>48</v>
      </c>
      <c r="C341" s="4" t="s">
        <v>17</v>
      </c>
      <c r="D341" s="4" t="s">
        <v>18</v>
      </c>
      <c r="E341" s="4" t="s">
        <v>19</v>
      </c>
      <c r="F341" s="4">
        <v>12</v>
      </c>
      <c r="G341" s="4">
        <v>3857</v>
      </c>
      <c r="H341" s="4">
        <v>12</v>
      </c>
      <c r="I341" s="5">
        <v>46196</v>
      </c>
      <c r="J341" s="5">
        <v>46198</v>
      </c>
      <c r="K341" s="24" t="s">
        <v>51</v>
      </c>
      <c r="L341" s="39">
        <f t="shared" si="5"/>
        <v>46284</v>
      </c>
    </row>
    <row r="342" spans="1:12" ht="15.6" x14ac:dyDescent="0.3">
      <c r="A342" s="3">
        <v>1341</v>
      </c>
      <c r="B342" s="4" t="s">
        <v>57</v>
      </c>
      <c r="C342" s="4" t="s">
        <v>38</v>
      </c>
      <c r="D342" s="4" t="s">
        <v>18</v>
      </c>
      <c r="E342" s="4" t="s">
        <v>19</v>
      </c>
      <c r="F342" s="4">
        <v>19</v>
      </c>
      <c r="G342" s="4">
        <v>6488</v>
      </c>
      <c r="H342" s="4">
        <v>15</v>
      </c>
      <c r="I342" s="5">
        <v>46026</v>
      </c>
      <c r="J342" s="5">
        <v>46030</v>
      </c>
      <c r="K342" s="24" t="s">
        <v>20</v>
      </c>
      <c r="L342" s="39">
        <f t="shared" si="5"/>
        <v>123272</v>
      </c>
    </row>
    <row r="343" spans="1:12" ht="15.6" x14ac:dyDescent="0.3">
      <c r="A343" s="3">
        <v>1342</v>
      </c>
      <c r="B343" s="4" t="s">
        <v>59</v>
      </c>
      <c r="C343" s="4" t="s">
        <v>31</v>
      </c>
      <c r="D343" s="4" t="s">
        <v>34</v>
      </c>
      <c r="E343" s="4" t="s">
        <v>35</v>
      </c>
      <c r="F343" s="4">
        <v>13</v>
      </c>
      <c r="G343" s="4">
        <v>47881</v>
      </c>
      <c r="H343" s="4">
        <v>15</v>
      </c>
      <c r="I343" s="5">
        <v>46132</v>
      </c>
      <c r="J343" s="5">
        <v>46139</v>
      </c>
      <c r="K343" s="24" t="s">
        <v>29</v>
      </c>
      <c r="L343" s="39">
        <f t="shared" si="5"/>
        <v>622453</v>
      </c>
    </row>
    <row r="344" spans="1:12" ht="15.6" x14ac:dyDescent="0.3">
      <c r="A344" s="3">
        <v>1343</v>
      </c>
      <c r="B344" s="4" t="s">
        <v>59</v>
      </c>
      <c r="C344" s="4" t="s">
        <v>31</v>
      </c>
      <c r="D344" s="4" t="s">
        <v>34</v>
      </c>
      <c r="E344" s="4" t="s">
        <v>39</v>
      </c>
      <c r="F344" s="4">
        <v>14</v>
      </c>
      <c r="G344" s="4">
        <v>32719</v>
      </c>
      <c r="H344" s="4">
        <v>15</v>
      </c>
      <c r="I344" s="5">
        <v>46174</v>
      </c>
      <c r="J344" s="5">
        <v>46179</v>
      </c>
      <c r="K344" s="24" t="s">
        <v>15</v>
      </c>
      <c r="L344" s="39">
        <f t="shared" si="5"/>
        <v>458066</v>
      </c>
    </row>
    <row r="345" spans="1:12" ht="15.6" x14ac:dyDescent="0.3">
      <c r="A345" s="3">
        <v>1344</v>
      </c>
      <c r="B345" s="4" t="s">
        <v>30</v>
      </c>
      <c r="C345" s="4" t="s">
        <v>17</v>
      </c>
      <c r="D345" s="4" t="s">
        <v>13</v>
      </c>
      <c r="E345" s="4" t="s">
        <v>53</v>
      </c>
      <c r="F345" s="4">
        <v>18</v>
      </c>
      <c r="G345" s="4">
        <v>240</v>
      </c>
      <c r="H345" s="4">
        <v>10</v>
      </c>
      <c r="I345" s="5">
        <v>46155</v>
      </c>
      <c r="J345" s="5">
        <v>46156</v>
      </c>
      <c r="K345" s="24" t="s">
        <v>24</v>
      </c>
      <c r="L345" s="39">
        <f t="shared" si="5"/>
        <v>4320</v>
      </c>
    </row>
    <row r="346" spans="1:12" ht="15.6" x14ac:dyDescent="0.3">
      <c r="A346" s="3">
        <v>1345</v>
      </c>
      <c r="B346" s="4" t="s">
        <v>32</v>
      </c>
      <c r="C346" s="4" t="s">
        <v>12</v>
      </c>
      <c r="D346" s="4" t="s">
        <v>34</v>
      </c>
      <c r="E346" s="4" t="s">
        <v>45</v>
      </c>
      <c r="F346" s="4">
        <v>12</v>
      </c>
      <c r="G346" s="4">
        <v>50544</v>
      </c>
      <c r="H346" s="4">
        <v>10</v>
      </c>
      <c r="I346" s="5">
        <v>46095</v>
      </c>
      <c r="J346" s="5">
        <v>46097</v>
      </c>
      <c r="K346" s="24" t="s">
        <v>29</v>
      </c>
      <c r="L346" s="39">
        <f t="shared" si="5"/>
        <v>606528</v>
      </c>
    </row>
    <row r="347" spans="1:12" ht="15.6" x14ac:dyDescent="0.3">
      <c r="A347" s="3">
        <v>1346</v>
      </c>
      <c r="B347" s="4" t="s">
        <v>32</v>
      </c>
      <c r="C347" s="4" t="s">
        <v>22</v>
      </c>
      <c r="D347" s="4" t="s">
        <v>18</v>
      </c>
      <c r="E347" s="4" t="s">
        <v>19</v>
      </c>
      <c r="F347" s="4">
        <v>16</v>
      </c>
      <c r="G347" s="4">
        <v>6910</v>
      </c>
      <c r="H347" s="4">
        <v>15</v>
      </c>
      <c r="I347" s="5">
        <v>46140</v>
      </c>
      <c r="J347" s="5">
        <v>46142</v>
      </c>
      <c r="K347" s="24" t="s">
        <v>29</v>
      </c>
      <c r="L347" s="39">
        <f t="shared" si="5"/>
        <v>110560</v>
      </c>
    </row>
    <row r="348" spans="1:12" ht="15.6" x14ac:dyDescent="0.3">
      <c r="A348" s="3">
        <v>1347</v>
      </c>
      <c r="B348" s="4" t="s">
        <v>29</v>
      </c>
      <c r="C348" s="4" t="s">
        <v>22</v>
      </c>
      <c r="D348" s="4" t="s">
        <v>34</v>
      </c>
      <c r="E348" s="4" t="s">
        <v>35</v>
      </c>
      <c r="F348" s="4">
        <v>16</v>
      </c>
      <c r="G348" s="4">
        <v>6034</v>
      </c>
      <c r="H348" s="4">
        <v>15</v>
      </c>
      <c r="I348" s="5">
        <v>46037</v>
      </c>
      <c r="J348" s="5">
        <v>46044</v>
      </c>
      <c r="K348" s="24" t="s">
        <v>24</v>
      </c>
      <c r="L348" s="39">
        <f t="shared" si="5"/>
        <v>96544</v>
      </c>
    </row>
    <row r="349" spans="1:12" ht="15.6" x14ac:dyDescent="0.3">
      <c r="A349" s="3">
        <v>1348</v>
      </c>
      <c r="B349" s="4" t="s">
        <v>11</v>
      </c>
      <c r="C349" s="4" t="s">
        <v>33</v>
      </c>
      <c r="D349" s="4" t="s">
        <v>13</v>
      </c>
      <c r="E349" s="4" t="s">
        <v>50</v>
      </c>
      <c r="F349" s="4">
        <v>12</v>
      </c>
      <c r="G349" s="4">
        <v>244</v>
      </c>
      <c r="H349" s="4">
        <v>7</v>
      </c>
      <c r="I349" s="5">
        <v>46048</v>
      </c>
      <c r="J349" s="5">
        <v>46053</v>
      </c>
      <c r="K349" s="24" t="s">
        <v>15</v>
      </c>
      <c r="L349" s="39">
        <f t="shared" si="5"/>
        <v>2928</v>
      </c>
    </row>
    <row r="350" spans="1:12" ht="15.6" x14ac:dyDescent="0.3">
      <c r="A350" s="3">
        <v>1349</v>
      </c>
      <c r="B350" s="4" t="s">
        <v>40</v>
      </c>
      <c r="C350" s="4" t="s">
        <v>33</v>
      </c>
      <c r="D350" s="4" t="s">
        <v>34</v>
      </c>
      <c r="E350" s="4" t="s">
        <v>35</v>
      </c>
      <c r="F350" s="4">
        <v>20</v>
      </c>
      <c r="G350" s="4">
        <v>62721</v>
      </c>
      <c r="H350" s="4">
        <v>7</v>
      </c>
      <c r="I350" s="5">
        <v>46079</v>
      </c>
      <c r="J350" s="5">
        <v>46083</v>
      </c>
      <c r="K350" s="24" t="s">
        <v>20</v>
      </c>
      <c r="L350" s="39">
        <f t="shared" si="5"/>
        <v>1254420</v>
      </c>
    </row>
    <row r="351" spans="1:12" ht="15.6" x14ac:dyDescent="0.3">
      <c r="A351" s="3">
        <v>1350</v>
      </c>
      <c r="B351" s="4" t="s">
        <v>26</v>
      </c>
      <c r="C351" s="4" t="s">
        <v>43</v>
      </c>
      <c r="D351" s="4" t="s">
        <v>18</v>
      </c>
      <c r="E351" s="4" t="s">
        <v>28</v>
      </c>
      <c r="F351" s="4">
        <v>16</v>
      </c>
      <c r="G351" s="4">
        <v>11790</v>
      </c>
      <c r="H351" s="4">
        <v>12</v>
      </c>
      <c r="I351" s="5">
        <v>46185</v>
      </c>
      <c r="J351" s="5">
        <v>46190</v>
      </c>
      <c r="K351" s="24" t="s">
        <v>29</v>
      </c>
      <c r="L351" s="39">
        <f t="shared" si="5"/>
        <v>188640</v>
      </c>
    </row>
    <row r="352" spans="1:12" ht="15.6" x14ac:dyDescent="0.3">
      <c r="A352" s="3">
        <v>1351</v>
      </c>
      <c r="B352" s="4" t="s">
        <v>42</v>
      </c>
      <c r="C352" s="4" t="s">
        <v>33</v>
      </c>
      <c r="D352" s="4" t="s">
        <v>34</v>
      </c>
      <c r="E352" s="4" t="s">
        <v>45</v>
      </c>
      <c r="F352" s="4">
        <v>12</v>
      </c>
      <c r="G352" s="4">
        <v>1272</v>
      </c>
      <c r="H352" s="4">
        <v>0</v>
      </c>
      <c r="I352" s="5">
        <v>46026</v>
      </c>
      <c r="J352" s="5">
        <v>46029</v>
      </c>
      <c r="K352" s="24" t="s">
        <v>15</v>
      </c>
      <c r="L352" s="39">
        <f t="shared" si="5"/>
        <v>15264</v>
      </c>
    </row>
    <row r="353" spans="1:12" ht="15.6" x14ac:dyDescent="0.3">
      <c r="A353" s="3">
        <v>1352</v>
      </c>
      <c r="B353" s="4" t="s">
        <v>54</v>
      </c>
      <c r="C353" s="4" t="s">
        <v>22</v>
      </c>
      <c r="D353" s="4" t="s">
        <v>13</v>
      </c>
      <c r="E353" s="4" t="s">
        <v>14</v>
      </c>
      <c r="F353" s="4">
        <v>12</v>
      </c>
      <c r="G353" s="4">
        <v>203</v>
      </c>
      <c r="H353" s="4">
        <v>5</v>
      </c>
      <c r="I353" s="5">
        <v>46024</v>
      </c>
      <c r="J353" s="5">
        <v>46033</v>
      </c>
      <c r="K353" s="24" t="s">
        <v>15</v>
      </c>
      <c r="L353" s="39">
        <f t="shared" si="5"/>
        <v>2436</v>
      </c>
    </row>
    <row r="354" spans="1:12" ht="15.6" x14ac:dyDescent="0.3">
      <c r="A354" s="3">
        <v>1353</v>
      </c>
      <c r="B354" s="4" t="s">
        <v>47</v>
      </c>
      <c r="C354" s="4" t="s">
        <v>43</v>
      </c>
      <c r="D354" s="4" t="s">
        <v>13</v>
      </c>
      <c r="E354" s="4" t="s">
        <v>14</v>
      </c>
      <c r="F354" s="4">
        <v>6</v>
      </c>
      <c r="G354" s="4">
        <v>495</v>
      </c>
      <c r="H354" s="4">
        <v>2</v>
      </c>
      <c r="I354" s="5">
        <v>46194</v>
      </c>
      <c r="J354" s="5">
        <v>46200</v>
      </c>
      <c r="K354" s="24" t="s">
        <v>24</v>
      </c>
      <c r="L354" s="39">
        <f t="shared" si="5"/>
        <v>2970</v>
      </c>
    </row>
    <row r="355" spans="1:12" ht="15.6" x14ac:dyDescent="0.3">
      <c r="A355" s="3">
        <v>1354</v>
      </c>
      <c r="B355" s="4" t="s">
        <v>47</v>
      </c>
      <c r="C355" s="4" t="s">
        <v>43</v>
      </c>
      <c r="D355" s="4" t="s">
        <v>34</v>
      </c>
      <c r="E355" s="4" t="s">
        <v>35</v>
      </c>
      <c r="F355" s="4">
        <v>15</v>
      </c>
      <c r="G355" s="4">
        <v>14927</v>
      </c>
      <c r="H355" s="4">
        <v>15</v>
      </c>
      <c r="I355" s="5">
        <v>46118</v>
      </c>
      <c r="J355" s="5">
        <v>46120</v>
      </c>
      <c r="K355" s="24" t="s">
        <v>51</v>
      </c>
      <c r="L355" s="39">
        <f t="shared" si="5"/>
        <v>223905</v>
      </c>
    </row>
    <row r="356" spans="1:12" ht="15.6" x14ac:dyDescent="0.3">
      <c r="A356" s="3">
        <v>1355</v>
      </c>
      <c r="B356" s="4" t="s">
        <v>27</v>
      </c>
      <c r="C356" s="4" t="s">
        <v>12</v>
      </c>
      <c r="D356" s="4" t="s">
        <v>34</v>
      </c>
      <c r="E356" s="4" t="s">
        <v>60</v>
      </c>
      <c r="F356" s="4">
        <v>18</v>
      </c>
      <c r="G356" s="4">
        <v>35997</v>
      </c>
      <c r="H356" s="4">
        <v>2</v>
      </c>
      <c r="I356" s="5">
        <v>46024</v>
      </c>
      <c r="J356" s="5">
        <v>46031</v>
      </c>
      <c r="K356" s="24" t="s">
        <v>51</v>
      </c>
      <c r="L356" s="39">
        <f t="shared" si="5"/>
        <v>647946</v>
      </c>
    </row>
    <row r="357" spans="1:12" ht="15.6" x14ac:dyDescent="0.3">
      <c r="A357" s="3">
        <v>1356</v>
      </c>
      <c r="B357" s="4" t="s">
        <v>26</v>
      </c>
      <c r="C357" s="4" t="s">
        <v>38</v>
      </c>
      <c r="D357" s="4" t="s">
        <v>34</v>
      </c>
      <c r="E357" s="4" t="s">
        <v>60</v>
      </c>
      <c r="F357" s="4">
        <v>16</v>
      </c>
      <c r="G357" s="4">
        <v>53457</v>
      </c>
      <c r="H357" s="4">
        <v>10</v>
      </c>
      <c r="I357" s="5">
        <v>46201</v>
      </c>
      <c r="J357" s="5">
        <v>46204</v>
      </c>
      <c r="K357" s="24" t="s">
        <v>15</v>
      </c>
      <c r="L357" s="39">
        <f t="shared" si="5"/>
        <v>855312</v>
      </c>
    </row>
    <row r="358" spans="1:12" ht="15.6" x14ac:dyDescent="0.3">
      <c r="A358" s="3">
        <v>1357</v>
      </c>
      <c r="B358" s="4" t="s">
        <v>59</v>
      </c>
      <c r="C358" s="4" t="s">
        <v>25</v>
      </c>
      <c r="D358" s="4" t="s">
        <v>13</v>
      </c>
      <c r="E358" s="4" t="s">
        <v>37</v>
      </c>
      <c r="F358" s="4">
        <v>6</v>
      </c>
      <c r="G358" s="4">
        <v>365</v>
      </c>
      <c r="H358" s="4">
        <v>7</v>
      </c>
      <c r="I358" s="5">
        <v>46133</v>
      </c>
      <c r="J358" s="5">
        <v>46140</v>
      </c>
      <c r="K358" s="24" t="s">
        <v>51</v>
      </c>
      <c r="L358" s="39">
        <f t="shared" si="5"/>
        <v>2190</v>
      </c>
    </row>
    <row r="359" spans="1:12" ht="15.6" x14ac:dyDescent="0.3">
      <c r="A359" s="3">
        <v>1358</v>
      </c>
      <c r="B359" s="4" t="s">
        <v>40</v>
      </c>
      <c r="C359" s="4" t="s">
        <v>38</v>
      </c>
      <c r="D359" s="4" t="s">
        <v>18</v>
      </c>
      <c r="E359" s="4" t="s">
        <v>19</v>
      </c>
      <c r="F359" s="4">
        <v>7</v>
      </c>
      <c r="G359" s="4">
        <v>6618</v>
      </c>
      <c r="H359" s="4">
        <v>0</v>
      </c>
      <c r="I359" s="5">
        <v>46127</v>
      </c>
      <c r="J359" s="5">
        <v>46129</v>
      </c>
      <c r="K359" s="24" t="s">
        <v>20</v>
      </c>
      <c r="L359" s="39">
        <f t="shared" si="5"/>
        <v>46326</v>
      </c>
    </row>
    <row r="360" spans="1:12" ht="15.6" x14ac:dyDescent="0.3">
      <c r="A360" s="3">
        <v>1359</v>
      </c>
      <c r="B360" s="4" t="s">
        <v>54</v>
      </c>
      <c r="C360" s="4" t="s">
        <v>12</v>
      </c>
      <c r="D360" s="4" t="s">
        <v>34</v>
      </c>
      <c r="E360" s="4" t="s">
        <v>61</v>
      </c>
      <c r="F360" s="4">
        <v>9</v>
      </c>
      <c r="G360" s="4">
        <v>38179</v>
      </c>
      <c r="H360" s="4">
        <v>0</v>
      </c>
      <c r="I360" s="5">
        <v>46096</v>
      </c>
      <c r="J360" s="5">
        <v>46099</v>
      </c>
      <c r="K360" s="24" t="s">
        <v>15</v>
      </c>
      <c r="L360" s="39">
        <f t="shared" si="5"/>
        <v>343611</v>
      </c>
    </row>
    <row r="361" spans="1:12" ht="15.6" x14ac:dyDescent="0.3">
      <c r="A361" s="3">
        <v>1360</v>
      </c>
      <c r="B361" s="4" t="s">
        <v>11</v>
      </c>
      <c r="C361" s="4" t="s">
        <v>43</v>
      </c>
      <c r="D361" s="4" t="s">
        <v>18</v>
      </c>
      <c r="E361" s="4" t="s">
        <v>23</v>
      </c>
      <c r="F361" s="4">
        <v>19</v>
      </c>
      <c r="G361" s="4">
        <v>6681</v>
      </c>
      <c r="H361" s="4">
        <v>2</v>
      </c>
      <c r="I361" s="5">
        <v>46146</v>
      </c>
      <c r="J361" s="5">
        <v>46150</v>
      </c>
      <c r="K361" s="24" t="s">
        <v>15</v>
      </c>
      <c r="L361" s="39">
        <f t="shared" si="5"/>
        <v>126939</v>
      </c>
    </row>
    <row r="362" spans="1:12" ht="15.6" x14ac:dyDescent="0.3">
      <c r="A362" s="3">
        <v>1361</v>
      </c>
      <c r="B362" s="4" t="s">
        <v>42</v>
      </c>
      <c r="C362" s="4" t="s">
        <v>17</v>
      </c>
      <c r="D362" s="4" t="s">
        <v>18</v>
      </c>
      <c r="E362" s="4" t="s">
        <v>23</v>
      </c>
      <c r="F362" s="4">
        <v>2</v>
      </c>
      <c r="G362" s="4">
        <v>1822</v>
      </c>
      <c r="H362" s="4">
        <v>5</v>
      </c>
      <c r="I362" s="5">
        <v>46141</v>
      </c>
      <c r="J362" s="5">
        <v>46145</v>
      </c>
      <c r="K362" s="24" t="s">
        <v>20</v>
      </c>
      <c r="L362" s="39">
        <f t="shared" si="5"/>
        <v>3644</v>
      </c>
    </row>
    <row r="363" spans="1:12" ht="15.6" x14ac:dyDescent="0.3">
      <c r="A363" s="3">
        <v>1362</v>
      </c>
      <c r="B363" s="4" t="s">
        <v>16</v>
      </c>
      <c r="C363" s="4" t="s">
        <v>12</v>
      </c>
      <c r="D363" s="4" t="s">
        <v>18</v>
      </c>
      <c r="E363" s="4" t="s">
        <v>28</v>
      </c>
      <c r="F363" s="4">
        <v>1</v>
      </c>
      <c r="G363" s="4">
        <v>10474</v>
      </c>
      <c r="H363" s="4">
        <v>0</v>
      </c>
      <c r="I363" s="5">
        <v>46094</v>
      </c>
      <c r="J363" s="5">
        <v>46096</v>
      </c>
      <c r="K363" s="24" t="s">
        <v>29</v>
      </c>
      <c r="L363" s="39">
        <f t="shared" si="5"/>
        <v>10474</v>
      </c>
    </row>
    <row r="364" spans="1:12" ht="15.6" x14ac:dyDescent="0.3">
      <c r="A364" s="3">
        <v>1363</v>
      </c>
      <c r="B364" s="4" t="s">
        <v>27</v>
      </c>
      <c r="C364" s="4" t="s">
        <v>25</v>
      </c>
      <c r="D364" s="4" t="s">
        <v>34</v>
      </c>
      <c r="E364" s="4" t="s">
        <v>35</v>
      </c>
      <c r="F364" s="4">
        <v>7</v>
      </c>
      <c r="G364" s="4">
        <v>45381</v>
      </c>
      <c r="H364" s="4">
        <v>0</v>
      </c>
      <c r="I364" s="5">
        <v>46122</v>
      </c>
      <c r="J364" s="5">
        <v>46128</v>
      </c>
      <c r="K364" s="24" t="s">
        <v>15</v>
      </c>
      <c r="L364" s="39">
        <f t="shared" si="5"/>
        <v>317667</v>
      </c>
    </row>
    <row r="365" spans="1:12" ht="15.6" x14ac:dyDescent="0.3">
      <c r="A365" s="3">
        <v>1364</v>
      </c>
      <c r="B365" s="4" t="s">
        <v>30</v>
      </c>
      <c r="C365" s="4" t="s">
        <v>22</v>
      </c>
      <c r="D365" s="4" t="s">
        <v>18</v>
      </c>
      <c r="E365" s="4" t="s">
        <v>56</v>
      </c>
      <c r="F365" s="4">
        <v>16</v>
      </c>
      <c r="G365" s="4">
        <v>1744</v>
      </c>
      <c r="H365" s="4">
        <v>15</v>
      </c>
      <c r="I365" s="5">
        <v>46031</v>
      </c>
      <c r="J365" s="5">
        <v>46033</v>
      </c>
      <c r="K365" s="24" t="s">
        <v>51</v>
      </c>
      <c r="L365" s="39">
        <f t="shared" si="5"/>
        <v>27904</v>
      </c>
    </row>
    <row r="366" spans="1:12" ht="15.6" x14ac:dyDescent="0.3">
      <c r="A366" s="3">
        <v>1365</v>
      </c>
      <c r="B366" s="4" t="s">
        <v>46</v>
      </c>
      <c r="C366" s="4" t="s">
        <v>33</v>
      </c>
      <c r="D366" s="4" t="s">
        <v>13</v>
      </c>
      <c r="E366" s="4" t="s">
        <v>50</v>
      </c>
      <c r="F366" s="4">
        <v>17</v>
      </c>
      <c r="G366" s="4">
        <v>119</v>
      </c>
      <c r="H366" s="4">
        <v>7</v>
      </c>
      <c r="I366" s="5">
        <v>46070</v>
      </c>
      <c r="J366" s="5">
        <v>46072</v>
      </c>
      <c r="K366" s="24" t="s">
        <v>20</v>
      </c>
      <c r="L366" s="39">
        <f t="shared" si="5"/>
        <v>2023</v>
      </c>
    </row>
    <row r="367" spans="1:12" ht="15.6" x14ac:dyDescent="0.3">
      <c r="A367" s="3">
        <v>1366</v>
      </c>
      <c r="B367" s="4" t="s">
        <v>26</v>
      </c>
      <c r="C367" s="4" t="s">
        <v>17</v>
      </c>
      <c r="D367" s="4" t="s">
        <v>34</v>
      </c>
      <c r="E367" s="4" t="s">
        <v>61</v>
      </c>
      <c r="F367" s="4">
        <v>20</v>
      </c>
      <c r="G367" s="4">
        <v>44312</v>
      </c>
      <c r="H367" s="4">
        <v>10</v>
      </c>
      <c r="I367" s="5">
        <v>46047</v>
      </c>
      <c r="J367" s="5">
        <v>46054</v>
      </c>
      <c r="K367" s="24" t="s">
        <v>29</v>
      </c>
      <c r="L367" s="39">
        <f t="shared" si="5"/>
        <v>886240</v>
      </c>
    </row>
    <row r="368" spans="1:12" ht="15.6" x14ac:dyDescent="0.3">
      <c r="A368" s="3">
        <v>1367</v>
      </c>
      <c r="B368" s="4" t="s">
        <v>54</v>
      </c>
      <c r="C368" s="4" t="s">
        <v>25</v>
      </c>
      <c r="D368" s="4" t="s">
        <v>13</v>
      </c>
      <c r="E368" s="4" t="s">
        <v>53</v>
      </c>
      <c r="F368" s="4">
        <v>1</v>
      </c>
      <c r="G368" s="4">
        <v>371</v>
      </c>
      <c r="H368" s="4">
        <v>5</v>
      </c>
      <c r="I368" s="5">
        <v>46158</v>
      </c>
      <c r="J368" s="5">
        <v>46168</v>
      </c>
      <c r="K368" s="24" t="s">
        <v>29</v>
      </c>
      <c r="L368" s="39">
        <f t="shared" si="5"/>
        <v>371</v>
      </c>
    </row>
    <row r="369" spans="1:12" ht="15.6" x14ac:dyDescent="0.3">
      <c r="A369" s="3">
        <v>1368</v>
      </c>
      <c r="B369" s="4" t="s">
        <v>55</v>
      </c>
      <c r="C369" s="4" t="s">
        <v>38</v>
      </c>
      <c r="D369" s="4" t="s">
        <v>13</v>
      </c>
      <c r="E369" s="4" t="s">
        <v>36</v>
      </c>
      <c r="F369" s="4">
        <v>9</v>
      </c>
      <c r="G369" s="4">
        <v>115</v>
      </c>
      <c r="H369" s="4">
        <v>0</v>
      </c>
      <c r="I369" s="5">
        <v>46036</v>
      </c>
      <c r="J369" s="5">
        <v>46045</v>
      </c>
      <c r="K369" s="24" t="s">
        <v>24</v>
      </c>
      <c r="L369" s="39">
        <f t="shared" si="5"/>
        <v>1035</v>
      </c>
    </row>
    <row r="370" spans="1:12" ht="15.6" x14ac:dyDescent="0.3">
      <c r="A370" s="3">
        <v>1369</v>
      </c>
      <c r="B370" s="4" t="s">
        <v>57</v>
      </c>
      <c r="C370" s="4" t="s">
        <v>25</v>
      </c>
      <c r="D370" s="4" t="s">
        <v>18</v>
      </c>
      <c r="E370" s="4" t="s">
        <v>19</v>
      </c>
      <c r="F370" s="4">
        <v>19</v>
      </c>
      <c r="G370" s="4">
        <v>5840</v>
      </c>
      <c r="H370" s="4">
        <v>5</v>
      </c>
      <c r="I370" s="5">
        <v>46062</v>
      </c>
      <c r="J370" s="5">
        <v>46067</v>
      </c>
      <c r="K370" s="24" t="s">
        <v>15</v>
      </c>
      <c r="L370" s="39">
        <f t="shared" si="5"/>
        <v>110960</v>
      </c>
    </row>
    <row r="371" spans="1:12" ht="15.6" x14ac:dyDescent="0.3">
      <c r="A371" s="3">
        <v>1370</v>
      </c>
      <c r="B371" s="4" t="s">
        <v>59</v>
      </c>
      <c r="C371" s="4" t="s">
        <v>38</v>
      </c>
      <c r="D371" s="4" t="s">
        <v>13</v>
      </c>
      <c r="E371" s="4" t="s">
        <v>53</v>
      </c>
      <c r="F371" s="4">
        <v>13</v>
      </c>
      <c r="G371" s="4">
        <v>337</v>
      </c>
      <c r="H371" s="4">
        <v>7</v>
      </c>
      <c r="I371" s="5">
        <v>46184</v>
      </c>
      <c r="J371" s="5">
        <v>46188</v>
      </c>
      <c r="K371" s="24" t="s">
        <v>15</v>
      </c>
      <c r="L371" s="39">
        <f t="shared" si="5"/>
        <v>4381</v>
      </c>
    </row>
    <row r="372" spans="1:12" ht="15.6" x14ac:dyDescent="0.3">
      <c r="A372" s="3">
        <v>1371</v>
      </c>
      <c r="B372" s="4" t="s">
        <v>48</v>
      </c>
      <c r="C372" s="4" t="s">
        <v>38</v>
      </c>
      <c r="D372" s="4" t="s">
        <v>18</v>
      </c>
      <c r="E372" s="4" t="s">
        <v>19</v>
      </c>
      <c r="F372" s="4">
        <v>19</v>
      </c>
      <c r="G372" s="4">
        <v>1087</v>
      </c>
      <c r="H372" s="4">
        <v>15</v>
      </c>
      <c r="I372" s="5">
        <v>46072</v>
      </c>
      <c r="J372" s="5">
        <v>46082</v>
      </c>
      <c r="K372" s="24" t="s">
        <v>20</v>
      </c>
      <c r="L372" s="39">
        <f t="shared" si="5"/>
        <v>20653</v>
      </c>
    </row>
    <row r="373" spans="1:12" ht="15.6" x14ac:dyDescent="0.3">
      <c r="A373" s="3">
        <v>1372</v>
      </c>
      <c r="B373" s="4" t="s">
        <v>48</v>
      </c>
      <c r="C373" s="4" t="s">
        <v>17</v>
      </c>
      <c r="D373" s="4" t="s">
        <v>34</v>
      </c>
      <c r="E373" s="4" t="s">
        <v>39</v>
      </c>
      <c r="F373" s="4">
        <v>9</v>
      </c>
      <c r="G373" s="4">
        <v>9551</v>
      </c>
      <c r="H373" s="4">
        <v>10</v>
      </c>
      <c r="I373" s="5">
        <v>46161</v>
      </c>
      <c r="J373" s="5">
        <v>46168</v>
      </c>
      <c r="K373" s="24" t="s">
        <v>15</v>
      </c>
      <c r="L373" s="39">
        <f t="shared" si="5"/>
        <v>85959</v>
      </c>
    </row>
    <row r="374" spans="1:12" ht="15.6" x14ac:dyDescent="0.3">
      <c r="A374" s="3">
        <v>1373</v>
      </c>
      <c r="B374" s="4" t="s">
        <v>54</v>
      </c>
      <c r="C374" s="4" t="s">
        <v>25</v>
      </c>
      <c r="D374" s="4" t="s">
        <v>34</v>
      </c>
      <c r="E374" s="4" t="s">
        <v>60</v>
      </c>
      <c r="F374" s="4">
        <v>11</v>
      </c>
      <c r="G374" s="4">
        <v>47930</v>
      </c>
      <c r="H374" s="4">
        <v>12</v>
      </c>
      <c r="I374" s="5">
        <v>46191</v>
      </c>
      <c r="J374" s="5">
        <v>46201</v>
      </c>
      <c r="K374" s="24" t="s">
        <v>20</v>
      </c>
      <c r="L374" s="39">
        <f t="shared" si="5"/>
        <v>527230</v>
      </c>
    </row>
    <row r="375" spans="1:12" ht="15.6" x14ac:dyDescent="0.3">
      <c r="A375" s="3">
        <v>1374</v>
      </c>
      <c r="B375" s="4" t="s">
        <v>57</v>
      </c>
      <c r="C375" s="4" t="s">
        <v>33</v>
      </c>
      <c r="D375" s="4" t="s">
        <v>34</v>
      </c>
      <c r="E375" s="4" t="s">
        <v>35</v>
      </c>
      <c r="F375" s="4">
        <v>12</v>
      </c>
      <c r="G375" s="4">
        <v>66052</v>
      </c>
      <c r="H375" s="4">
        <v>2</v>
      </c>
      <c r="I375" s="5">
        <v>46063</v>
      </c>
      <c r="J375" s="5">
        <v>46066</v>
      </c>
      <c r="K375" s="24" t="s">
        <v>51</v>
      </c>
      <c r="L375" s="39">
        <f t="shared" si="5"/>
        <v>792624</v>
      </c>
    </row>
    <row r="376" spans="1:12" ht="15.6" x14ac:dyDescent="0.3">
      <c r="A376" s="3">
        <v>1375</v>
      </c>
      <c r="B376" s="4" t="s">
        <v>46</v>
      </c>
      <c r="C376" s="4" t="s">
        <v>43</v>
      </c>
      <c r="D376" s="4" t="s">
        <v>34</v>
      </c>
      <c r="E376" s="4" t="s">
        <v>45</v>
      </c>
      <c r="F376" s="4">
        <v>20</v>
      </c>
      <c r="G376" s="4">
        <v>56766</v>
      </c>
      <c r="H376" s="4">
        <v>0</v>
      </c>
      <c r="I376" s="5">
        <v>46052</v>
      </c>
      <c r="J376" s="5">
        <v>46061</v>
      </c>
      <c r="K376" s="24" t="s">
        <v>24</v>
      </c>
      <c r="L376" s="39">
        <f t="shared" si="5"/>
        <v>1135320</v>
      </c>
    </row>
    <row r="377" spans="1:12" ht="15.6" x14ac:dyDescent="0.3">
      <c r="A377" s="3">
        <v>1376</v>
      </c>
      <c r="B377" s="4" t="s">
        <v>52</v>
      </c>
      <c r="C377" s="4" t="s">
        <v>31</v>
      </c>
      <c r="D377" s="4" t="s">
        <v>13</v>
      </c>
      <c r="E377" s="4" t="s">
        <v>50</v>
      </c>
      <c r="F377" s="4">
        <v>20</v>
      </c>
      <c r="G377" s="4">
        <v>429</v>
      </c>
      <c r="H377" s="4">
        <v>5</v>
      </c>
      <c r="I377" s="5">
        <v>46178</v>
      </c>
      <c r="J377" s="5">
        <v>46184</v>
      </c>
      <c r="K377" s="24" t="s">
        <v>20</v>
      </c>
      <c r="L377" s="39">
        <f t="shared" si="5"/>
        <v>8580</v>
      </c>
    </row>
    <row r="378" spans="1:12" ht="15.6" x14ac:dyDescent="0.3">
      <c r="A378" s="3">
        <v>1377</v>
      </c>
      <c r="B378" s="4" t="s">
        <v>32</v>
      </c>
      <c r="C378" s="4" t="s">
        <v>38</v>
      </c>
      <c r="D378" s="4" t="s">
        <v>18</v>
      </c>
      <c r="E378" s="4" t="s">
        <v>19</v>
      </c>
      <c r="F378" s="4">
        <v>3</v>
      </c>
      <c r="G378" s="4">
        <v>5480</v>
      </c>
      <c r="H378" s="4">
        <v>12</v>
      </c>
      <c r="I378" s="5">
        <v>46105</v>
      </c>
      <c r="J378" s="5">
        <v>46111</v>
      </c>
      <c r="K378" s="24" t="s">
        <v>24</v>
      </c>
      <c r="L378" s="39">
        <f t="shared" si="5"/>
        <v>16440</v>
      </c>
    </row>
    <row r="379" spans="1:12" ht="15.6" x14ac:dyDescent="0.3">
      <c r="A379" s="3">
        <v>1378</v>
      </c>
      <c r="B379" s="4" t="s">
        <v>55</v>
      </c>
      <c r="C379" s="4" t="s">
        <v>22</v>
      </c>
      <c r="D379" s="4" t="s">
        <v>34</v>
      </c>
      <c r="E379" s="4" t="s">
        <v>45</v>
      </c>
      <c r="F379" s="4">
        <v>15</v>
      </c>
      <c r="G379" s="4">
        <v>22693</v>
      </c>
      <c r="H379" s="4">
        <v>12</v>
      </c>
      <c r="I379" s="5">
        <v>46074</v>
      </c>
      <c r="J379" s="5">
        <v>46080</v>
      </c>
      <c r="K379" s="24" t="s">
        <v>51</v>
      </c>
      <c r="L379" s="39">
        <f t="shared" si="5"/>
        <v>340395</v>
      </c>
    </row>
    <row r="380" spans="1:12" ht="15.6" x14ac:dyDescent="0.3">
      <c r="A380" s="3">
        <v>1379</v>
      </c>
      <c r="B380" s="4" t="s">
        <v>47</v>
      </c>
      <c r="C380" s="4" t="s">
        <v>17</v>
      </c>
      <c r="D380" s="4" t="s">
        <v>13</v>
      </c>
      <c r="E380" s="4" t="s">
        <v>14</v>
      </c>
      <c r="F380" s="4">
        <v>11</v>
      </c>
      <c r="G380" s="4">
        <v>136</v>
      </c>
      <c r="H380" s="4">
        <v>15</v>
      </c>
      <c r="I380" s="5">
        <v>46106</v>
      </c>
      <c r="J380" s="5">
        <v>46107</v>
      </c>
      <c r="K380" s="24" t="s">
        <v>20</v>
      </c>
      <c r="L380" s="39">
        <f t="shared" si="5"/>
        <v>1496</v>
      </c>
    </row>
    <row r="381" spans="1:12" ht="15.6" x14ac:dyDescent="0.3">
      <c r="A381" s="3">
        <v>1380</v>
      </c>
      <c r="B381" s="4" t="s">
        <v>52</v>
      </c>
      <c r="C381" s="4" t="s">
        <v>43</v>
      </c>
      <c r="D381" s="4" t="s">
        <v>13</v>
      </c>
      <c r="E381" s="4" t="s">
        <v>53</v>
      </c>
      <c r="F381" s="4">
        <v>3</v>
      </c>
      <c r="G381" s="4">
        <v>412</v>
      </c>
      <c r="H381" s="4">
        <v>7</v>
      </c>
      <c r="I381" s="5">
        <v>46128</v>
      </c>
      <c r="J381" s="5">
        <v>46138</v>
      </c>
      <c r="K381" s="24" t="s">
        <v>24</v>
      </c>
      <c r="L381" s="39">
        <f t="shared" si="5"/>
        <v>1236</v>
      </c>
    </row>
    <row r="382" spans="1:12" ht="15.6" x14ac:dyDescent="0.3">
      <c r="A382" s="3">
        <v>1381</v>
      </c>
      <c r="B382" s="4" t="s">
        <v>55</v>
      </c>
      <c r="C382" s="4" t="s">
        <v>33</v>
      </c>
      <c r="D382" s="4" t="s">
        <v>18</v>
      </c>
      <c r="E382" s="4" t="s">
        <v>28</v>
      </c>
      <c r="F382" s="4">
        <v>5</v>
      </c>
      <c r="G382" s="4">
        <v>7484</v>
      </c>
      <c r="H382" s="4">
        <v>2</v>
      </c>
      <c r="I382" s="5">
        <v>46089</v>
      </c>
      <c r="J382" s="5">
        <v>46093</v>
      </c>
      <c r="K382" s="24" t="s">
        <v>20</v>
      </c>
      <c r="L382" s="39">
        <f t="shared" si="5"/>
        <v>37420</v>
      </c>
    </row>
    <row r="383" spans="1:12" ht="15.6" x14ac:dyDescent="0.3">
      <c r="A383" s="3">
        <v>1382</v>
      </c>
      <c r="B383" s="4" t="s">
        <v>49</v>
      </c>
      <c r="C383" s="4" t="s">
        <v>33</v>
      </c>
      <c r="D383" s="4" t="s">
        <v>34</v>
      </c>
      <c r="E383" s="4" t="s">
        <v>60</v>
      </c>
      <c r="F383" s="4">
        <v>11</v>
      </c>
      <c r="G383" s="4">
        <v>36198</v>
      </c>
      <c r="H383" s="4">
        <v>0</v>
      </c>
      <c r="I383" s="5">
        <v>46130</v>
      </c>
      <c r="J383" s="5">
        <v>46134</v>
      </c>
      <c r="K383" s="24" t="s">
        <v>15</v>
      </c>
      <c r="L383" s="39">
        <f t="shared" si="5"/>
        <v>398178</v>
      </c>
    </row>
    <row r="384" spans="1:12" ht="15.6" x14ac:dyDescent="0.3">
      <c r="A384" s="3">
        <v>1383</v>
      </c>
      <c r="B384" s="4" t="s">
        <v>32</v>
      </c>
      <c r="C384" s="4" t="s">
        <v>12</v>
      </c>
      <c r="D384" s="4" t="s">
        <v>13</v>
      </c>
      <c r="E384" s="4" t="s">
        <v>53</v>
      </c>
      <c r="F384" s="4">
        <v>14</v>
      </c>
      <c r="G384" s="4">
        <v>334</v>
      </c>
      <c r="H384" s="4">
        <v>10</v>
      </c>
      <c r="I384" s="5">
        <v>46196</v>
      </c>
      <c r="J384" s="5">
        <v>46203</v>
      </c>
      <c r="K384" s="24" t="s">
        <v>15</v>
      </c>
      <c r="L384" s="39">
        <f t="shared" si="5"/>
        <v>4676</v>
      </c>
    </row>
    <row r="385" spans="1:12" ht="15.6" x14ac:dyDescent="0.3">
      <c r="A385" s="3">
        <v>1384</v>
      </c>
      <c r="B385" s="4" t="s">
        <v>59</v>
      </c>
      <c r="C385" s="4" t="s">
        <v>12</v>
      </c>
      <c r="D385" s="4" t="s">
        <v>34</v>
      </c>
      <c r="E385" s="4" t="s">
        <v>39</v>
      </c>
      <c r="F385" s="4">
        <v>15</v>
      </c>
      <c r="G385" s="4">
        <v>38116</v>
      </c>
      <c r="H385" s="4">
        <v>0</v>
      </c>
      <c r="I385" s="5">
        <v>46074</v>
      </c>
      <c r="J385" s="5">
        <v>46078</v>
      </c>
      <c r="K385" s="24" t="s">
        <v>29</v>
      </c>
      <c r="L385" s="39">
        <f t="shared" si="5"/>
        <v>571740</v>
      </c>
    </row>
    <row r="386" spans="1:12" ht="15.6" x14ac:dyDescent="0.3">
      <c r="A386" s="3">
        <v>1385</v>
      </c>
      <c r="B386" s="4" t="s">
        <v>26</v>
      </c>
      <c r="C386" s="4" t="s">
        <v>33</v>
      </c>
      <c r="D386" s="4" t="s">
        <v>34</v>
      </c>
      <c r="E386" s="4" t="s">
        <v>39</v>
      </c>
      <c r="F386" s="4">
        <v>12</v>
      </c>
      <c r="G386" s="4">
        <v>61360</v>
      </c>
      <c r="H386" s="4">
        <v>10</v>
      </c>
      <c r="I386" s="5">
        <v>46048</v>
      </c>
      <c r="J386" s="5">
        <v>46053</v>
      </c>
      <c r="K386" s="24" t="s">
        <v>51</v>
      </c>
      <c r="L386" s="39">
        <f t="shared" si="5"/>
        <v>736320</v>
      </c>
    </row>
    <row r="387" spans="1:12" ht="15.6" x14ac:dyDescent="0.3">
      <c r="A387" s="3">
        <v>1386</v>
      </c>
      <c r="B387" s="4" t="s">
        <v>27</v>
      </c>
      <c r="C387" s="4" t="s">
        <v>31</v>
      </c>
      <c r="D387" s="4" t="s">
        <v>18</v>
      </c>
      <c r="E387" s="4" t="s">
        <v>28</v>
      </c>
      <c r="F387" s="4">
        <v>9</v>
      </c>
      <c r="G387" s="4">
        <v>7509</v>
      </c>
      <c r="H387" s="4">
        <v>5</v>
      </c>
      <c r="I387" s="5">
        <v>46162</v>
      </c>
      <c r="J387" s="5">
        <v>46171</v>
      </c>
      <c r="K387" s="24" t="s">
        <v>51</v>
      </c>
      <c r="L387" s="39">
        <f t="shared" ref="L387:L401" si="6">(F387*G387)</f>
        <v>67581</v>
      </c>
    </row>
    <row r="388" spans="1:12" ht="15.6" x14ac:dyDescent="0.3">
      <c r="A388" s="3">
        <v>1387</v>
      </c>
      <c r="B388" s="4" t="s">
        <v>54</v>
      </c>
      <c r="C388" s="4" t="s">
        <v>33</v>
      </c>
      <c r="D388" s="4" t="s">
        <v>34</v>
      </c>
      <c r="E388" s="4" t="s">
        <v>35</v>
      </c>
      <c r="F388" s="4">
        <v>11</v>
      </c>
      <c r="G388" s="4">
        <v>56515</v>
      </c>
      <c r="H388" s="4">
        <v>5</v>
      </c>
      <c r="I388" s="5">
        <v>46102</v>
      </c>
      <c r="J388" s="5">
        <v>46112</v>
      </c>
      <c r="K388" s="24" t="s">
        <v>24</v>
      </c>
      <c r="L388" s="39">
        <f t="shared" si="6"/>
        <v>621665</v>
      </c>
    </row>
    <row r="389" spans="1:12" ht="15.6" x14ac:dyDescent="0.3">
      <c r="A389" s="3">
        <v>1388</v>
      </c>
      <c r="B389" s="4" t="s">
        <v>55</v>
      </c>
      <c r="C389" s="4" t="s">
        <v>31</v>
      </c>
      <c r="D389" s="4" t="s">
        <v>18</v>
      </c>
      <c r="E389" s="4" t="s">
        <v>28</v>
      </c>
      <c r="F389" s="4">
        <v>12</v>
      </c>
      <c r="G389" s="4">
        <v>11662</v>
      </c>
      <c r="H389" s="4">
        <v>12</v>
      </c>
      <c r="I389" s="5">
        <v>46094</v>
      </c>
      <c r="J389" s="5">
        <v>46096</v>
      </c>
      <c r="K389" s="24" t="s">
        <v>20</v>
      </c>
      <c r="L389" s="39">
        <f t="shared" si="6"/>
        <v>139944</v>
      </c>
    </row>
    <row r="390" spans="1:12" ht="15.6" x14ac:dyDescent="0.3">
      <c r="A390" s="3">
        <v>1389</v>
      </c>
      <c r="B390" s="4" t="s">
        <v>32</v>
      </c>
      <c r="C390" s="4" t="s">
        <v>12</v>
      </c>
      <c r="D390" s="4" t="s">
        <v>34</v>
      </c>
      <c r="E390" s="4" t="s">
        <v>41</v>
      </c>
      <c r="F390" s="4">
        <v>3</v>
      </c>
      <c r="G390" s="4">
        <v>56380</v>
      </c>
      <c r="H390" s="4">
        <v>5</v>
      </c>
      <c r="I390" s="5">
        <v>46044</v>
      </c>
      <c r="J390" s="5">
        <v>46048</v>
      </c>
      <c r="K390" s="24" t="s">
        <v>51</v>
      </c>
      <c r="L390" s="39">
        <f t="shared" si="6"/>
        <v>169140</v>
      </c>
    </row>
    <row r="391" spans="1:12" ht="15.6" x14ac:dyDescent="0.3">
      <c r="A391" s="3">
        <v>1390</v>
      </c>
      <c r="B391" s="4" t="s">
        <v>58</v>
      </c>
      <c r="C391" s="4" t="s">
        <v>43</v>
      </c>
      <c r="D391" s="4" t="s">
        <v>18</v>
      </c>
      <c r="E391" s="4" t="s">
        <v>19</v>
      </c>
      <c r="F391" s="4">
        <v>9</v>
      </c>
      <c r="G391" s="4">
        <v>7670</v>
      </c>
      <c r="H391" s="4">
        <v>0</v>
      </c>
      <c r="I391" s="5">
        <v>46076</v>
      </c>
      <c r="J391" s="5">
        <v>46081</v>
      </c>
      <c r="K391" s="24" t="s">
        <v>51</v>
      </c>
      <c r="L391" s="39">
        <f t="shared" si="6"/>
        <v>69030</v>
      </c>
    </row>
    <row r="392" spans="1:12" ht="15.6" x14ac:dyDescent="0.3">
      <c r="A392" s="3">
        <v>1391</v>
      </c>
      <c r="B392" s="4" t="s">
        <v>30</v>
      </c>
      <c r="C392" s="4" t="s">
        <v>31</v>
      </c>
      <c r="D392" s="4" t="s">
        <v>34</v>
      </c>
      <c r="E392" s="4" t="s">
        <v>35</v>
      </c>
      <c r="F392" s="4">
        <v>5</v>
      </c>
      <c r="G392" s="4">
        <v>65270</v>
      </c>
      <c r="H392" s="4">
        <v>5</v>
      </c>
      <c r="I392" s="5">
        <v>46100</v>
      </c>
      <c r="J392" s="5">
        <v>46103</v>
      </c>
      <c r="K392" s="24" t="s">
        <v>24</v>
      </c>
      <c r="L392" s="39">
        <f t="shared" si="6"/>
        <v>326350</v>
      </c>
    </row>
    <row r="393" spans="1:12" ht="15.6" x14ac:dyDescent="0.3">
      <c r="A393" s="3">
        <v>1392</v>
      </c>
      <c r="B393" s="4" t="s">
        <v>29</v>
      </c>
      <c r="C393" s="4" t="s">
        <v>43</v>
      </c>
      <c r="D393" s="4" t="s">
        <v>34</v>
      </c>
      <c r="E393" s="4" t="s">
        <v>35</v>
      </c>
      <c r="F393" s="4">
        <v>13</v>
      </c>
      <c r="G393" s="4">
        <v>23903</v>
      </c>
      <c r="H393" s="4">
        <v>5</v>
      </c>
      <c r="I393" s="5">
        <v>46124</v>
      </c>
      <c r="J393" s="5">
        <v>46125</v>
      </c>
      <c r="K393" s="24" t="s">
        <v>29</v>
      </c>
      <c r="L393" s="39">
        <f t="shared" si="6"/>
        <v>310739</v>
      </c>
    </row>
    <row r="394" spans="1:12" ht="15.6" x14ac:dyDescent="0.3">
      <c r="A394" s="3">
        <v>1393</v>
      </c>
      <c r="B394" s="4" t="s">
        <v>30</v>
      </c>
      <c r="C394" s="4" t="s">
        <v>25</v>
      </c>
      <c r="D394" s="4" t="s">
        <v>34</v>
      </c>
      <c r="E394" s="4" t="s">
        <v>45</v>
      </c>
      <c r="F394" s="4">
        <v>17</v>
      </c>
      <c r="G394" s="4">
        <v>30351</v>
      </c>
      <c r="H394" s="4">
        <v>15</v>
      </c>
      <c r="I394" s="5">
        <v>46047</v>
      </c>
      <c r="J394" s="5">
        <v>46051</v>
      </c>
      <c r="K394" s="24" t="s">
        <v>51</v>
      </c>
      <c r="L394" s="39">
        <f t="shared" si="6"/>
        <v>515967</v>
      </c>
    </row>
    <row r="395" spans="1:12" ht="15.6" x14ac:dyDescent="0.3">
      <c r="A395" s="3">
        <v>1394</v>
      </c>
      <c r="B395" s="4" t="s">
        <v>54</v>
      </c>
      <c r="C395" s="4" t="s">
        <v>12</v>
      </c>
      <c r="D395" s="4" t="s">
        <v>13</v>
      </c>
      <c r="E395" s="4" t="s">
        <v>14</v>
      </c>
      <c r="F395" s="4">
        <v>10</v>
      </c>
      <c r="G395" s="4">
        <v>138</v>
      </c>
      <c r="H395" s="4">
        <v>2</v>
      </c>
      <c r="I395" s="5">
        <v>46056</v>
      </c>
      <c r="J395" s="5">
        <v>46057</v>
      </c>
      <c r="K395" s="24" t="s">
        <v>15</v>
      </c>
      <c r="L395" s="39">
        <f t="shared" si="6"/>
        <v>1380</v>
      </c>
    </row>
    <row r="396" spans="1:12" ht="15.6" x14ac:dyDescent="0.3">
      <c r="A396" s="3">
        <v>1395</v>
      </c>
      <c r="B396" s="4" t="s">
        <v>54</v>
      </c>
      <c r="C396" s="4" t="s">
        <v>33</v>
      </c>
      <c r="D396" s="4" t="s">
        <v>18</v>
      </c>
      <c r="E396" s="4" t="s">
        <v>44</v>
      </c>
      <c r="F396" s="4">
        <v>18</v>
      </c>
      <c r="G396" s="4">
        <v>10402</v>
      </c>
      <c r="H396" s="4">
        <v>15</v>
      </c>
      <c r="I396" s="5">
        <v>46062</v>
      </c>
      <c r="J396" s="5">
        <v>46067</v>
      </c>
      <c r="K396" s="24" t="s">
        <v>29</v>
      </c>
      <c r="L396" s="39">
        <f t="shared" si="6"/>
        <v>187236</v>
      </c>
    </row>
    <row r="397" spans="1:12" ht="15.6" x14ac:dyDescent="0.3">
      <c r="A397" s="3">
        <v>1396</v>
      </c>
      <c r="B397" s="4" t="s">
        <v>21</v>
      </c>
      <c r="C397" s="4" t="s">
        <v>38</v>
      </c>
      <c r="D397" s="4" t="s">
        <v>13</v>
      </c>
      <c r="E397" s="4" t="s">
        <v>53</v>
      </c>
      <c r="F397" s="4">
        <v>8</v>
      </c>
      <c r="G397" s="4">
        <v>54</v>
      </c>
      <c r="H397" s="4">
        <v>15</v>
      </c>
      <c r="I397" s="5">
        <v>46031</v>
      </c>
      <c r="J397" s="5">
        <v>46035</v>
      </c>
      <c r="K397" s="24" t="s">
        <v>15</v>
      </c>
      <c r="L397" s="39">
        <f t="shared" si="6"/>
        <v>432</v>
      </c>
    </row>
    <row r="398" spans="1:12" ht="15.6" x14ac:dyDescent="0.3">
      <c r="A398" s="3">
        <v>1397</v>
      </c>
      <c r="B398" s="4" t="s">
        <v>21</v>
      </c>
      <c r="C398" s="4" t="s">
        <v>33</v>
      </c>
      <c r="D398" s="4" t="s">
        <v>18</v>
      </c>
      <c r="E398" s="4" t="s">
        <v>23</v>
      </c>
      <c r="F398" s="4">
        <v>1</v>
      </c>
      <c r="G398" s="4">
        <v>8948</v>
      </c>
      <c r="H398" s="4">
        <v>5</v>
      </c>
      <c r="I398" s="5">
        <v>46194</v>
      </c>
      <c r="J398" s="5">
        <v>46201</v>
      </c>
      <c r="K398" s="24" t="s">
        <v>51</v>
      </c>
      <c r="L398" s="39">
        <f t="shared" si="6"/>
        <v>8948</v>
      </c>
    </row>
    <row r="399" spans="1:12" ht="15.6" x14ac:dyDescent="0.3">
      <c r="A399" s="3">
        <v>1398</v>
      </c>
      <c r="B399" s="4" t="s">
        <v>58</v>
      </c>
      <c r="C399" s="4" t="s">
        <v>43</v>
      </c>
      <c r="D399" s="4" t="s">
        <v>34</v>
      </c>
      <c r="E399" s="4" t="s">
        <v>39</v>
      </c>
      <c r="F399" s="4">
        <v>12</v>
      </c>
      <c r="G399" s="4">
        <v>10668</v>
      </c>
      <c r="H399" s="4">
        <v>0</v>
      </c>
      <c r="I399" s="5">
        <v>46170</v>
      </c>
      <c r="J399" s="5">
        <v>46176</v>
      </c>
      <c r="K399" s="24" t="s">
        <v>15</v>
      </c>
      <c r="L399" s="39">
        <f t="shared" si="6"/>
        <v>128016</v>
      </c>
    </row>
    <row r="400" spans="1:12" ht="15.6" x14ac:dyDescent="0.3">
      <c r="A400" s="3">
        <v>1399</v>
      </c>
      <c r="B400" s="4" t="s">
        <v>48</v>
      </c>
      <c r="C400" s="4" t="s">
        <v>31</v>
      </c>
      <c r="D400" s="4" t="s">
        <v>13</v>
      </c>
      <c r="E400" s="4" t="s">
        <v>14</v>
      </c>
      <c r="F400" s="4">
        <v>15</v>
      </c>
      <c r="G400" s="4">
        <v>87</v>
      </c>
      <c r="H400" s="4">
        <v>15</v>
      </c>
      <c r="I400" s="5">
        <v>46089</v>
      </c>
      <c r="J400" s="5">
        <v>46093</v>
      </c>
      <c r="K400" s="24" t="s">
        <v>20</v>
      </c>
      <c r="L400" s="39">
        <f t="shared" si="6"/>
        <v>1305</v>
      </c>
    </row>
    <row r="401" spans="1:12" ht="16.2" thickBot="1" x14ac:dyDescent="0.35">
      <c r="A401" s="7">
        <v>1400</v>
      </c>
      <c r="B401" s="8" t="s">
        <v>40</v>
      </c>
      <c r="C401" s="8" t="s">
        <v>22</v>
      </c>
      <c r="D401" s="8" t="s">
        <v>34</v>
      </c>
      <c r="E401" s="8" t="s">
        <v>35</v>
      </c>
      <c r="F401" s="8">
        <v>13</v>
      </c>
      <c r="G401" s="8">
        <v>52411</v>
      </c>
      <c r="H401" s="8">
        <v>15</v>
      </c>
      <c r="I401" s="9">
        <v>46090</v>
      </c>
      <c r="J401" s="9">
        <v>46092</v>
      </c>
      <c r="K401" s="25" t="s">
        <v>20</v>
      </c>
      <c r="L401" s="39">
        <f t="shared" si="6"/>
        <v>681343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CBCB-D01F-4658-AF8E-8E18405D5D79}">
  <dimension ref="A1:N401"/>
  <sheetViews>
    <sheetView zoomScale="70" zoomScaleNormal="70" workbookViewId="0">
      <selection activeCell="N7" sqref="N7:N8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3" customWidth="1"/>
    <col min="4" max="4" width="14.33203125" customWidth="1"/>
    <col min="5" max="5" width="11.44140625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5.33203125" bestFit="1" customWidth="1"/>
    <col min="14" max="14" width="23.44140625" bestFit="1" customWidth="1"/>
  </cols>
  <sheetData>
    <row r="1" spans="1:14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26" t="s">
        <v>70</v>
      </c>
    </row>
    <row r="2" spans="1:14" ht="15.6" x14ac:dyDescent="0.3">
      <c r="A2" s="3">
        <v>1245</v>
      </c>
      <c r="B2" s="4" t="s">
        <v>55</v>
      </c>
      <c r="C2" s="4" t="s">
        <v>43</v>
      </c>
      <c r="D2" s="4" t="s">
        <v>34</v>
      </c>
      <c r="E2" s="4" t="s">
        <v>41</v>
      </c>
      <c r="F2" s="4">
        <v>19</v>
      </c>
      <c r="G2" s="4">
        <v>69029</v>
      </c>
      <c r="H2" s="4">
        <v>7</v>
      </c>
      <c r="I2" s="5">
        <v>46176</v>
      </c>
      <c r="J2" s="5">
        <v>46179</v>
      </c>
      <c r="K2" s="6" t="s">
        <v>29</v>
      </c>
      <c r="L2" s="28">
        <f>F2*G2*(1-H2/100)</f>
        <v>1219742.43</v>
      </c>
    </row>
    <row r="3" spans="1:14" ht="15.6" x14ac:dyDescent="0.3">
      <c r="A3" s="3">
        <v>1090</v>
      </c>
      <c r="B3" s="4" t="s">
        <v>49</v>
      </c>
      <c r="C3" s="4" t="s">
        <v>31</v>
      </c>
      <c r="D3" s="4" t="s">
        <v>34</v>
      </c>
      <c r="E3" s="4" t="s">
        <v>45</v>
      </c>
      <c r="F3" s="4">
        <v>19</v>
      </c>
      <c r="G3" s="4">
        <v>66139</v>
      </c>
      <c r="H3" s="4">
        <v>5</v>
      </c>
      <c r="I3" s="5">
        <v>46088</v>
      </c>
      <c r="J3" s="5">
        <v>46095</v>
      </c>
      <c r="K3" s="6" t="s">
        <v>24</v>
      </c>
      <c r="L3" s="28">
        <f>F3*G3*(1-H3/100)</f>
        <v>1193808.95</v>
      </c>
    </row>
    <row r="4" spans="1:14" ht="15.6" x14ac:dyDescent="0.3">
      <c r="A4" s="3">
        <v>1072</v>
      </c>
      <c r="B4" s="4" t="s">
        <v>16</v>
      </c>
      <c r="C4" s="4" t="s">
        <v>25</v>
      </c>
      <c r="D4" s="4" t="s">
        <v>34</v>
      </c>
      <c r="E4" s="4" t="s">
        <v>61</v>
      </c>
      <c r="F4" s="4">
        <v>20</v>
      </c>
      <c r="G4" s="4">
        <v>58779</v>
      </c>
      <c r="H4" s="4">
        <v>0</v>
      </c>
      <c r="I4" s="5">
        <v>46035</v>
      </c>
      <c r="J4" s="5">
        <v>46036</v>
      </c>
      <c r="K4" s="6" t="s">
        <v>24</v>
      </c>
      <c r="L4" s="28">
        <f>F4*G4*(1-H4/100)</f>
        <v>1175580</v>
      </c>
    </row>
    <row r="5" spans="1:14" ht="15.6" x14ac:dyDescent="0.3">
      <c r="A5" s="3">
        <v>1349</v>
      </c>
      <c r="B5" s="4" t="s">
        <v>40</v>
      </c>
      <c r="C5" s="4" t="s">
        <v>33</v>
      </c>
      <c r="D5" s="4" t="s">
        <v>34</v>
      </c>
      <c r="E5" s="4" t="s">
        <v>35</v>
      </c>
      <c r="F5" s="4">
        <v>20</v>
      </c>
      <c r="G5" s="4">
        <v>62721</v>
      </c>
      <c r="H5" s="4">
        <v>7</v>
      </c>
      <c r="I5" s="5">
        <v>46079</v>
      </c>
      <c r="J5" s="5">
        <v>46083</v>
      </c>
      <c r="K5" s="6" t="s">
        <v>20</v>
      </c>
      <c r="L5" s="28">
        <f>F5*G5*(1-H5/100)</f>
        <v>1166610.5999999999</v>
      </c>
    </row>
    <row r="6" spans="1:14" ht="15.6" x14ac:dyDescent="0.3">
      <c r="A6" s="3">
        <v>1375</v>
      </c>
      <c r="B6" s="4" t="s">
        <v>46</v>
      </c>
      <c r="C6" s="4" t="s">
        <v>43</v>
      </c>
      <c r="D6" s="4" t="s">
        <v>34</v>
      </c>
      <c r="E6" s="4" t="s">
        <v>45</v>
      </c>
      <c r="F6" s="4">
        <v>20</v>
      </c>
      <c r="G6" s="4">
        <v>56766</v>
      </c>
      <c r="H6" s="4">
        <v>0</v>
      </c>
      <c r="I6" s="5">
        <v>46052</v>
      </c>
      <c r="J6" s="5">
        <v>46061</v>
      </c>
      <c r="K6" s="6" t="s">
        <v>24</v>
      </c>
      <c r="L6" s="28">
        <f>F6*G6*(1-H6/100)</f>
        <v>1135320</v>
      </c>
    </row>
    <row r="7" spans="1:14" ht="18" x14ac:dyDescent="0.35">
      <c r="A7" s="3">
        <v>1187</v>
      </c>
      <c r="B7" s="4" t="s">
        <v>54</v>
      </c>
      <c r="C7" s="4" t="s">
        <v>22</v>
      </c>
      <c r="D7" s="4" t="s">
        <v>34</v>
      </c>
      <c r="E7" s="4" t="s">
        <v>45</v>
      </c>
      <c r="F7" s="4">
        <v>18</v>
      </c>
      <c r="G7" s="4">
        <v>68527</v>
      </c>
      <c r="H7" s="4">
        <v>12</v>
      </c>
      <c r="I7" s="5">
        <v>46178</v>
      </c>
      <c r="J7" s="5">
        <v>46184</v>
      </c>
      <c r="K7" s="6" t="s">
        <v>51</v>
      </c>
      <c r="L7" s="28">
        <f>F7*G7*(1-H7/100)</f>
        <v>1085467.68</v>
      </c>
      <c r="N7" s="45" t="s">
        <v>88</v>
      </c>
    </row>
    <row r="8" spans="1:14" ht="18" x14ac:dyDescent="0.35">
      <c r="A8" s="3">
        <v>1279</v>
      </c>
      <c r="B8" s="4" t="s">
        <v>55</v>
      </c>
      <c r="C8" s="4" t="s">
        <v>33</v>
      </c>
      <c r="D8" s="4" t="s">
        <v>34</v>
      </c>
      <c r="E8" s="4" t="s">
        <v>45</v>
      </c>
      <c r="F8" s="4">
        <v>20</v>
      </c>
      <c r="G8" s="4">
        <v>49042</v>
      </c>
      <c r="H8" s="4">
        <v>2</v>
      </c>
      <c r="I8" s="5">
        <v>46124</v>
      </c>
      <c r="J8" s="5">
        <v>46126</v>
      </c>
      <c r="K8" s="6" t="s">
        <v>15</v>
      </c>
      <c r="L8" s="28">
        <f>F8*G8*(1-H8/100)</f>
        <v>961223.2</v>
      </c>
      <c r="N8" s="46" t="str">
        <f xml:space="preserve"> B2</f>
        <v>Sneha</v>
      </c>
    </row>
    <row r="9" spans="1:14" ht="15.6" x14ac:dyDescent="0.3">
      <c r="A9" s="3">
        <v>1135</v>
      </c>
      <c r="B9" s="4" t="s">
        <v>49</v>
      </c>
      <c r="C9" s="4" t="s">
        <v>43</v>
      </c>
      <c r="D9" s="4" t="s">
        <v>34</v>
      </c>
      <c r="E9" s="4" t="s">
        <v>39</v>
      </c>
      <c r="F9" s="4">
        <v>14</v>
      </c>
      <c r="G9" s="4">
        <v>68534</v>
      </c>
      <c r="H9" s="4">
        <v>0</v>
      </c>
      <c r="I9" s="5">
        <v>46041</v>
      </c>
      <c r="J9" s="5">
        <v>46042</v>
      </c>
      <c r="K9" s="6" t="s">
        <v>15</v>
      </c>
      <c r="L9" s="28">
        <f>F9*G9*(1-H9/100)</f>
        <v>959476</v>
      </c>
    </row>
    <row r="10" spans="1:14" ht="15.6" x14ac:dyDescent="0.3">
      <c r="A10" s="3">
        <v>1061</v>
      </c>
      <c r="B10" s="4" t="s">
        <v>57</v>
      </c>
      <c r="C10" s="4" t="s">
        <v>12</v>
      </c>
      <c r="D10" s="4" t="s">
        <v>34</v>
      </c>
      <c r="E10" s="4" t="s">
        <v>41</v>
      </c>
      <c r="F10" s="4">
        <v>16</v>
      </c>
      <c r="G10" s="4">
        <v>59084</v>
      </c>
      <c r="H10" s="4">
        <v>0</v>
      </c>
      <c r="I10" s="5">
        <v>46060</v>
      </c>
      <c r="J10" s="5">
        <v>46069</v>
      </c>
      <c r="K10" s="6" t="s">
        <v>20</v>
      </c>
      <c r="L10" s="28">
        <f>F10*G10*(1-H10/100)</f>
        <v>945344</v>
      </c>
    </row>
    <row r="11" spans="1:14" ht="15.6" x14ac:dyDescent="0.3">
      <c r="A11" s="3">
        <v>1260</v>
      </c>
      <c r="B11" s="4" t="s">
        <v>54</v>
      </c>
      <c r="C11" s="4" t="s">
        <v>38</v>
      </c>
      <c r="D11" s="4" t="s">
        <v>34</v>
      </c>
      <c r="E11" s="4" t="s">
        <v>41</v>
      </c>
      <c r="F11" s="4">
        <v>19</v>
      </c>
      <c r="G11" s="4">
        <v>54981</v>
      </c>
      <c r="H11" s="4">
        <v>10</v>
      </c>
      <c r="I11" s="5">
        <v>46040</v>
      </c>
      <c r="J11" s="5">
        <v>46045</v>
      </c>
      <c r="K11" s="6" t="s">
        <v>29</v>
      </c>
      <c r="L11" s="28">
        <f>F11*G11*(1-H11/100)</f>
        <v>940175.1</v>
      </c>
    </row>
    <row r="12" spans="1:14" ht="15.6" x14ac:dyDescent="0.3">
      <c r="A12" s="3">
        <v>1270</v>
      </c>
      <c r="B12" s="4" t="s">
        <v>49</v>
      </c>
      <c r="C12" s="4" t="s">
        <v>43</v>
      </c>
      <c r="D12" s="4" t="s">
        <v>34</v>
      </c>
      <c r="E12" s="4" t="s">
        <v>35</v>
      </c>
      <c r="F12" s="4">
        <v>16</v>
      </c>
      <c r="G12" s="4">
        <v>62941</v>
      </c>
      <c r="H12" s="4">
        <v>7</v>
      </c>
      <c r="I12" s="5">
        <v>46135</v>
      </c>
      <c r="J12" s="5">
        <v>46141</v>
      </c>
      <c r="K12" s="6" t="s">
        <v>51</v>
      </c>
      <c r="L12" s="28">
        <f>F12*G12*(1-H12/100)</f>
        <v>936562.08</v>
      </c>
    </row>
    <row r="13" spans="1:14" ht="15.6" x14ac:dyDescent="0.3">
      <c r="A13" s="3">
        <v>1319</v>
      </c>
      <c r="B13" s="4" t="s">
        <v>21</v>
      </c>
      <c r="C13" s="4" t="s">
        <v>17</v>
      </c>
      <c r="D13" s="4" t="s">
        <v>34</v>
      </c>
      <c r="E13" s="4" t="s">
        <v>61</v>
      </c>
      <c r="F13" s="4">
        <v>17</v>
      </c>
      <c r="G13" s="4">
        <v>58407</v>
      </c>
      <c r="H13" s="4">
        <v>7</v>
      </c>
      <c r="I13" s="5">
        <v>46094</v>
      </c>
      <c r="J13" s="5">
        <v>46102</v>
      </c>
      <c r="K13" s="6" t="s">
        <v>15</v>
      </c>
      <c r="L13" s="28">
        <f>F13*G13*(1-H13/100)</f>
        <v>923414.66999999993</v>
      </c>
    </row>
    <row r="14" spans="1:14" ht="15.6" x14ac:dyDescent="0.3">
      <c r="A14" s="3">
        <v>1251</v>
      </c>
      <c r="B14" s="4" t="s">
        <v>55</v>
      </c>
      <c r="C14" s="4" t="s">
        <v>38</v>
      </c>
      <c r="D14" s="4" t="s">
        <v>34</v>
      </c>
      <c r="E14" s="4" t="s">
        <v>61</v>
      </c>
      <c r="F14" s="4">
        <v>19</v>
      </c>
      <c r="G14" s="4">
        <v>48548</v>
      </c>
      <c r="H14" s="4">
        <v>0</v>
      </c>
      <c r="I14" s="5">
        <v>46112</v>
      </c>
      <c r="J14" s="5">
        <v>46121</v>
      </c>
      <c r="K14" s="6" t="s">
        <v>51</v>
      </c>
      <c r="L14" s="28">
        <f>F14*G14*(1-H14/100)</f>
        <v>922412</v>
      </c>
    </row>
    <row r="15" spans="1:14" ht="15.6" x14ac:dyDescent="0.3">
      <c r="A15" s="3">
        <v>1200</v>
      </c>
      <c r="B15" s="4" t="s">
        <v>29</v>
      </c>
      <c r="C15" s="4" t="s">
        <v>31</v>
      </c>
      <c r="D15" s="4" t="s">
        <v>34</v>
      </c>
      <c r="E15" s="4" t="s">
        <v>45</v>
      </c>
      <c r="F15" s="4">
        <v>13</v>
      </c>
      <c r="G15" s="4">
        <v>69422</v>
      </c>
      <c r="H15" s="4">
        <v>0</v>
      </c>
      <c r="I15" s="5">
        <v>46134</v>
      </c>
      <c r="J15" s="5">
        <v>46143</v>
      </c>
      <c r="K15" s="6" t="s">
        <v>29</v>
      </c>
      <c r="L15" s="28">
        <f>F15*G15*(1-H15/100)</f>
        <v>902486</v>
      </c>
    </row>
    <row r="16" spans="1:14" ht="15.6" x14ac:dyDescent="0.3">
      <c r="A16" s="3">
        <v>1014</v>
      </c>
      <c r="B16" s="4" t="s">
        <v>40</v>
      </c>
      <c r="C16" s="4" t="s">
        <v>17</v>
      </c>
      <c r="D16" s="4" t="s">
        <v>34</v>
      </c>
      <c r="E16" s="4" t="s">
        <v>41</v>
      </c>
      <c r="F16" s="4">
        <v>19</v>
      </c>
      <c r="G16" s="4">
        <v>53683</v>
      </c>
      <c r="H16" s="4">
        <v>12</v>
      </c>
      <c r="I16" s="5">
        <v>46129</v>
      </c>
      <c r="J16" s="5">
        <v>46134</v>
      </c>
      <c r="K16" s="6" t="s">
        <v>29</v>
      </c>
      <c r="L16" s="28">
        <f>F16*G16*(1-H16/100)</f>
        <v>897579.76</v>
      </c>
    </row>
    <row r="17" spans="1:12" ht="15.6" x14ac:dyDescent="0.3">
      <c r="A17" s="3">
        <v>1253</v>
      </c>
      <c r="B17" s="4" t="s">
        <v>21</v>
      </c>
      <c r="C17" s="4" t="s">
        <v>31</v>
      </c>
      <c r="D17" s="4" t="s">
        <v>34</v>
      </c>
      <c r="E17" s="4" t="s">
        <v>45</v>
      </c>
      <c r="F17" s="4">
        <v>20</v>
      </c>
      <c r="G17" s="4">
        <v>47880</v>
      </c>
      <c r="H17" s="4">
        <v>7</v>
      </c>
      <c r="I17" s="5">
        <v>46074</v>
      </c>
      <c r="J17" s="5">
        <v>46075</v>
      </c>
      <c r="K17" s="6" t="s">
        <v>29</v>
      </c>
      <c r="L17" s="28">
        <f>F17*G17*(1-H17/100)</f>
        <v>890567.99999999988</v>
      </c>
    </row>
    <row r="18" spans="1:12" ht="15.6" x14ac:dyDescent="0.3">
      <c r="A18" s="3">
        <v>1043</v>
      </c>
      <c r="B18" s="4" t="s">
        <v>49</v>
      </c>
      <c r="C18" s="4" t="s">
        <v>38</v>
      </c>
      <c r="D18" s="4" t="s">
        <v>34</v>
      </c>
      <c r="E18" s="4" t="s">
        <v>35</v>
      </c>
      <c r="F18" s="4">
        <v>20</v>
      </c>
      <c r="G18" s="4">
        <v>46093</v>
      </c>
      <c r="H18" s="4">
        <v>5</v>
      </c>
      <c r="I18" s="5">
        <v>46091</v>
      </c>
      <c r="J18" s="5">
        <v>46098</v>
      </c>
      <c r="K18" s="6" t="s">
        <v>29</v>
      </c>
      <c r="L18" s="28">
        <f>F18*G18*(1-H18/100)</f>
        <v>875767</v>
      </c>
    </row>
    <row r="19" spans="1:12" ht="15.6" x14ac:dyDescent="0.3">
      <c r="A19" s="3">
        <v>1081</v>
      </c>
      <c r="B19" s="4" t="s">
        <v>47</v>
      </c>
      <c r="C19" s="4" t="s">
        <v>12</v>
      </c>
      <c r="D19" s="4" t="s">
        <v>34</v>
      </c>
      <c r="E19" s="4" t="s">
        <v>35</v>
      </c>
      <c r="F19" s="4">
        <v>15</v>
      </c>
      <c r="G19" s="4">
        <v>59912</v>
      </c>
      <c r="H19" s="4">
        <v>7</v>
      </c>
      <c r="I19" s="5">
        <v>46058</v>
      </c>
      <c r="J19" s="5">
        <v>46060</v>
      </c>
      <c r="K19" s="6" t="s">
        <v>51</v>
      </c>
      <c r="L19" s="28">
        <f>F19*G19*(1-H19/100)</f>
        <v>835772.39999999991</v>
      </c>
    </row>
    <row r="20" spans="1:12" ht="15.6" x14ac:dyDescent="0.3">
      <c r="A20" s="3">
        <v>1088</v>
      </c>
      <c r="B20" s="4" t="s">
        <v>40</v>
      </c>
      <c r="C20" s="4" t="s">
        <v>33</v>
      </c>
      <c r="D20" s="4" t="s">
        <v>34</v>
      </c>
      <c r="E20" s="4" t="s">
        <v>41</v>
      </c>
      <c r="F20" s="4">
        <v>20</v>
      </c>
      <c r="G20" s="4">
        <v>41165</v>
      </c>
      <c r="H20" s="4">
        <v>0</v>
      </c>
      <c r="I20" s="5">
        <v>46068</v>
      </c>
      <c r="J20" s="5">
        <v>46069</v>
      </c>
      <c r="K20" s="6" t="s">
        <v>20</v>
      </c>
      <c r="L20" s="28">
        <f>F20*G20*(1-H20/100)</f>
        <v>823300</v>
      </c>
    </row>
    <row r="21" spans="1:12" ht="15.6" x14ac:dyDescent="0.3">
      <c r="A21" s="3">
        <v>1079</v>
      </c>
      <c r="B21" s="4" t="s">
        <v>26</v>
      </c>
      <c r="C21" s="4" t="s">
        <v>38</v>
      </c>
      <c r="D21" s="4" t="s">
        <v>34</v>
      </c>
      <c r="E21" s="4" t="s">
        <v>41</v>
      </c>
      <c r="F21" s="4">
        <v>19</v>
      </c>
      <c r="G21" s="4">
        <v>48956</v>
      </c>
      <c r="H21" s="4">
        <v>12</v>
      </c>
      <c r="I21" s="5">
        <v>46170</v>
      </c>
      <c r="J21" s="5">
        <v>46177</v>
      </c>
      <c r="K21" s="6" t="s">
        <v>51</v>
      </c>
      <c r="L21" s="28">
        <f>F21*G21*(1-H21/100)</f>
        <v>818544.32</v>
      </c>
    </row>
    <row r="22" spans="1:12" ht="15.6" x14ac:dyDescent="0.3">
      <c r="A22" s="3">
        <v>1366</v>
      </c>
      <c r="B22" s="4" t="s">
        <v>26</v>
      </c>
      <c r="C22" s="4" t="s">
        <v>17</v>
      </c>
      <c r="D22" s="4" t="s">
        <v>34</v>
      </c>
      <c r="E22" s="4" t="s">
        <v>61</v>
      </c>
      <c r="F22" s="4">
        <v>20</v>
      </c>
      <c r="G22" s="4">
        <v>44312</v>
      </c>
      <c r="H22" s="4">
        <v>10</v>
      </c>
      <c r="I22" s="5">
        <v>46047</v>
      </c>
      <c r="J22" s="5">
        <v>46054</v>
      </c>
      <c r="K22" s="6" t="s">
        <v>29</v>
      </c>
      <c r="L22" s="28">
        <f>F22*G22*(1-H22/100)</f>
        <v>797616</v>
      </c>
    </row>
    <row r="23" spans="1:12" ht="15.6" x14ac:dyDescent="0.3">
      <c r="A23" s="3">
        <v>1315</v>
      </c>
      <c r="B23" s="4" t="s">
        <v>49</v>
      </c>
      <c r="C23" s="4" t="s">
        <v>31</v>
      </c>
      <c r="D23" s="4" t="s">
        <v>34</v>
      </c>
      <c r="E23" s="4" t="s">
        <v>41</v>
      </c>
      <c r="F23" s="4">
        <v>14</v>
      </c>
      <c r="G23" s="4">
        <v>57670</v>
      </c>
      <c r="H23" s="4">
        <v>2</v>
      </c>
      <c r="I23" s="5">
        <v>46186</v>
      </c>
      <c r="J23" s="5">
        <v>46196</v>
      </c>
      <c r="K23" s="6" t="s">
        <v>15</v>
      </c>
      <c r="L23" s="28">
        <f>F23*G23*(1-H23/100)</f>
        <v>791232.4</v>
      </c>
    </row>
    <row r="24" spans="1:12" ht="15.6" x14ac:dyDescent="0.3">
      <c r="A24" s="3">
        <v>1374</v>
      </c>
      <c r="B24" s="4" t="s">
        <v>57</v>
      </c>
      <c r="C24" s="4" t="s">
        <v>33</v>
      </c>
      <c r="D24" s="4" t="s">
        <v>34</v>
      </c>
      <c r="E24" s="4" t="s">
        <v>35</v>
      </c>
      <c r="F24" s="4">
        <v>12</v>
      </c>
      <c r="G24" s="4">
        <v>66052</v>
      </c>
      <c r="H24" s="4">
        <v>2</v>
      </c>
      <c r="I24" s="5">
        <v>46063</v>
      </c>
      <c r="J24" s="5">
        <v>46066</v>
      </c>
      <c r="K24" s="6" t="s">
        <v>51</v>
      </c>
      <c r="L24" s="28">
        <f>F24*G24*(1-H24/100)</f>
        <v>776771.52</v>
      </c>
    </row>
    <row r="25" spans="1:12" ht="15.6" x14ac:dyDescent="0.3">
      <c r="A25" s="3">
        <v>1356</v>
      </c>
      <c r="B25" s="4" t="s">
        <v>26</v>
      </c>
      <c r="C25" s="4" t="s">
        <v>38</v>
      </c>
      <c r="D25" s="4" t="s">
        <v>34</v>
      </c>
      <c r="E25" s="4" t="s">
        <v>60</v>
      </c>
      <c r="F25" s="4">
        <v>16</v>
      </c>
      <c r="G25" s="4">
        <v>53457</v>
      </c>
      <c r="H25" s="4">
        <v>10</v>
      </c>
      <c r="I25" s="5">
        <v>46201</v>
      </c>
      <c r="J25" s="5">
        <v>46204</v>
      </c>
      <c r="K25" s="6" t="s">
        <v>15</v>
      </c>
      <c r="L25" s="28">
        <f>F25*G25*(1-H25/100)</f>
        <v>769780.8</v>
      </c>
    </row>
    <row r="26" spans="1:12" ht="15.6" x14ac:dyDescent="0.3">
      <c r="A26" s="3">
        <v>1085</v>
      </c>
      <c r="B26" s="4" t="s">
        <v>32</v>
      </c>
      <c r="C26" s="4" t="s">
        <v>38</v>
      </c>
      <c r="D26" s="4" t="s">
        <v>34</v>
      </c>
      <c r="E26" s="4" t="s">
        <v>60</v>
      </c>
      <c r="F26" s="4">
        <v>19</v>
      </c>
      <c r="G26" s="4">
        <v>45307</v>
      </c>
      <c r="H26" s="4">
        <v>12</v>
      </c>
      <c r="I26" s="5">
        <v>46146</v>
      </c>
      <c r="J26" s="5">
        <v>46150</v>
      </c>
      <c r="K26" s="6" t="s">
        <v>24</v>
      </c>
      <c r="L26" s="28">
        <f>F26*G26*(1-H26/100)</f>
        <v>757533.04</v>
      </c>
    </row>
    <row r="27" spans="1:12" ht="15.6" x14ac:dyDescent="0.3">
      <c r="A27" s="3">
        <v>1308</v>
      </c>
      <c r="B27" s="4" t="s">
        <v>30</v>
      </c>
      <c r="C27" s="4" t="s">
        <v>22</v>
      </c>
      <c r="D27" s="4" t="s">
        <v>34</v>
      </c>
      <c r="E27" s="4" t="s">
        <v>41</v>
      </c>
      <c r="F27" s="4">
        <v>12</v>
      </c>
      <c r="G27" s="4">
        <v>66075</v>
      </c>
      <c r="H27" s="4">
        <v>5</v>
      </c>
      <c r="I27" s="5">
        <v>46129</v>
      </c>
      <c r="J27" s="5">
        <v>46135</v>
      </c>
      <c r="K27" s="6" t="s">
        <v>20</v>
      </c>
      <c r="L27" s="28">
        <f>F27*G27*(1-H27/100)</f>
        <v>753255</v>
      </c>
    </row>
    <row r="28" spans="1:12" ht="15.6" x14ac:dyDescent="0.3">
      <c r="A28" s="3">
        <v>1019</v>
      </c>
      <c r="B28" s="4" t="s">
        <v>11</v>
      </c>
      <c r="C28" s="4" t="s">
        <v>43</v>
      </c>
      <c r="D28" s="4" t="s">
        <v>34</v>
      </c>
      <c r="E28" s="4" t="s">
        <v>41</v>
      </c>
      <c r="F28" s="4">
        <v>18</v>
      </c>
      <c r="G28" s="4">
        <v>45652</v>
      </c>
      <c r="H28" s="4">
        <v>10</v>
      </c>
      <c r="I28" s="5">
        <v>46023</v>
      </c>
      <c r="J28" s="5">
        <v>46030</v>
      </c>
      <c r="K28" s="6" t="s">
        <v>20</v>
      </c>
      <c r="L28" s="28">
        <f>F28*G28*(1-H28/100)</f>
        <v>739562.4</v>
      </c>
    </row>
    <row r="29" spans="1:12" ht="15.6" x14ac:dyDescent="0.3">
      <c r="A29" s="3">
        <v>1102</v>
      </c>
      <c r="B29" s="4" t="s">
        <v>54</v>
      </c>
      <c r="C29" s="4" t="s">
        <v>25</v>
      </c>
      <c r="D29" s="4" t="s">
        <v>34</v>
      </c>
      <c r="E29" s="4" t="s">
        <v>45</v>
      </c>
      <c r="F29" s="4">
        <v>12</v>
      </c>
      <c r="G29" s="4">
        <v>63402</v>
      </c>
      <c r="H29" s="4">
        <v>7</v>
      </c>
      <c r="I29" s="5">
        <v>46106</v>
      </c>
      <c r="J29" s="5">
        <v>46113</v>
      </c>
      <c r="K29" s="6" t="s">
        <v>51</v>
      </c>
      <c r="L29" s="28">
        <f>F29*G29*(1-H29/100)</f>
        <v>707566.32</v>
      </c>
    </row>
    <row r="30" spans="1:12" ht="15.6" x14ac:dyDescent="0.3">
      <c r="A30" s="3">
        <v>1176</v>
      </c>
      <c r="B30" s="4" t="s">
        <v>58</v>
      </c>
      <c r="C30" s="4" t="s">
        <v>38</v>
      </c>
      <c r="D30" s="4" t="s">
        <v>34</v>
      </c>
      <c r="E30" s="4" t="s">
        <v>41</v>
      </c>
      <c r="F30" s="4">
        <v>17</v>
      </c>
      <c r="G30" s="4">
        <v>46937</v>
      </c>
      <c r="H30" s="4">
        <v>12</v>
      </c>
      <c r="I30" s="5">
        <v>46048</v>
      </c>
      <c r="J30" s="5">
        <v>46056</v>
      </c>
      <c r="K30" s="6" t="s">
        <v>29</v>
      </c>
      <c r="L30" s="28">
        <f>F30*G30*(1-H30/100)</f>
        <v>702177.52</v>
      </c>
    </row>
    <row r="31" spans="1:12" ht="15.6" x14ac:dyDescent="0.3">
      <c r="A31" s="3">
        <v>1385</v>
      </c>
      <c r="B31" s="4" t="s">
        <v>26</v>
      </c>
      <c r="C31" s="4" t="s">
        <v>33</v>
      </c>
      <c r="D31" s="4" t="s">
        <v>34</v>
      </c>
      <c r="E31" s="4" t="s">
        <v>39</v>
      </c>
      <c r="F31" s="4">
        <v>12</v>
      </c>
      <c r="G31" s="4">
        <v>61360</v>
      </c>
      <c r="H31" s="4">
        <v>10</v>
      </c>
      <c r="I31" s="5">
        <v>46048</v>
      </c>
      <c r="J31" s="5">
        <v>46053</v>
      </c>
      <c r="K31" s="6" t="s">
        <v>51</v>
      </c>
      <c r="L31" s="28">
        <f>F31*G31*(1-H31/100)</f>
        <v>662688</v>
      </c>
    </row>
    <row r="32" spans="1:12" ht="15.6" x14ac:dyDescent="0.3">
      <c r="A32" s="3">
        <v>1355</v>
      </c>
      <c r="B32" s="4" t="s">
        <v>27</v>
      </c>
      <c r="C32" s="4" t="s">
        <v>12</v>
      </c>
      <c r="D32" s="4" t="s">
        <v>34</v>
      </c>
      <c r="E32" s="4" t="s">
        <v>60</v>
      </c>
      <c r="F32" s="4">
        <v>18</v>
      </c>
      <c r="G32" s="4">
        <v>35997</v>
      </c>
      <c r="H32" s="4">
        <v>2</v>
      </c>
      <c r="I32" s="5">
        <v>46024</v>
      </c>
      <c r="J32" s="5">
        <v>46031</v>
      </c>
      <c r="K32" s="6" t="s">
        <v>51</v>
      </c>
      <c r="L32" s="28">
        <f>F32*G32*(1-H32/100)</f>
        <v>634987.07999999996</v>
      </c>
    </row>
    <row r="33" spans="1:12" ht="15.6" x14ac:dyDescent="0.3">
      <c r="A33" s="3">
        <v>1122</v>
      </c>
      <c r="B33" s="4" t="s">
        <v>40</v>
      </c>
      <c r="C33" s="4" t="s">
        <v>22</v>
      </c>
      <c r="D33" s="4" t="s">
        <v>34</v>
      </c>
      <c r="E33" s="4" t="s">
        <v>39</v>
      </c>
      <c r="F33" s="4">
        <v>14</v>
      </c>
      <c r="G33" s="4">
        <v>49990</v>
      </c>
      <c r="H33" s="4">
        <v>10</v>
      </c>
      <c r="I33" s="5">
        <v>46132</v>
      </c>
      <c r="J33" s="5">
        <v>46135</v>
      </c>
      <c r="K33" s="6" t="s">
        <v>29</v>
      </c>
      <c r="L33" s="28">
        <f>F33*G33*(1-H33/100)</f>
        <v>629874</v>
      </c>
    </row>
    <row r="34" spans="1:12" ht="15.6" x14ac:dyDescent="0.3">
      <c r="A34" s="3">
        <v>1271</v>
      </c>
      <c r="B34" s="4" t="s">
        <v>40</v>
      </c>
      <c r="C34" s="4" t="s">
        <v>33</v>
      </c>
      <c r="D34" s="4" t="s">
        <v>34</v>
      </c>
      <c r="E34" s="4" t="s">
        <v>60</v>
      </c>
      <c r="F34" s="4">
        <v>20</v>
      </c>
      <c r="G34" s="4">
        <v>36941</v>
      </c>
      <c r="H34" s="4">
        <v>15</v>
      </c>
      <c r="I34" s="5">
        <v>46083</v>
      </c>
      <c r="J34" s="5">
        <v>46085</v>
      </c>
      <c r="K34" s="6" t="s">
        <v>29</v>
      </c>
      <c r="L34" s="28">
        <f>F34*G34*(1-H34/100)</f>
        <v>627997</v>
      </c>
    </row>
    <row r="35" spans="1:12" ht="15.6" x14ac:dyDescent="0.3">
      <c r="A35" s="3">
        <v>1387</v>
      </c>
      <c r="B35" s="4" t="s">
        <v>54</v>
      </c>
      <c r="C35" s="4" t="s">
        <v>33</v>
      </c>
      <c r="D35" s="4" t="s">
        <v>34</v>
      </c>
      <c r="E35" s="4" t="s">
        <v>35</v>
      </c>
      <c r="F35" s="4">
        <v>11</v>
      </c>
      <c r="G35" s="4">
        <v>56515</v>
      </c>
      <c r="H35" s="4">
        <v>5</v>
      </c>
      <c r="I35" s="5">
        <v>46102</v>
      </c>
      <c r="J35" s="5">
        <v>46112</v>
      </c>
      <c r="K35" s="6" t="s">
        <v>24</v>
      </c>
      <c r="L35" s="28">
        <f>F35*G35*(1-H35/100)</f>
        <v>590581.75</v>
      </c>
    </row>
    <row r="36" spans="1:12" ht="15.6" x14ac:dyDescent="0.3">
      <c r="A36" s="3">
        <v>1400</v>
      </c>
      <c r="B36" s="4" t="s">
        <v>40</v>
      </c>
      <c r="C36" s="4" t="s">
        <v>22</v>
      </c>
      <c r="D36" s="4" t="s">
        <v>34</v>
      </c>
      <c r="E36" s="4" t="s">
        <v>35</v>
      </c>
      <c r="F36" s="4">
        <v>13</v>
      </c>
      <c r="G36" s="4">
        <v>52411</v>
      </c>
      <c r="H36" s="4">
        <v>15</v>
      </c>
      <c r="I36" s="5">
        <v>46090</v>
      </c>
      <c r="J36" s="5">
        <v>46092</v>
      </c>
      <c r="K36" s="6" t="s">
        <v>20</v>
      </c>
      <c r="L36" s="28">
        <f>F36*G36*(1-H36/100)</f>
        <v>579141.54999999993</v>
      </c>
    </row>
    <row r="37" spans="1:12" ht="15.6" x14ac:dyDescent="0.3">
      <c r="A37" s="3">
        <v>1384</v>
      </c>
      <c r="B37" s="4" t="s">
        <v>59</v>
      </c>
      <c r="C37" s="4" t="s">
        <v>12</v>
      </c>
      <c r="D37" s="4" t="s">
        <v>34</v>
      </c>
      <c r="E37" s="4" t="s">
        <v>39</v>
      </c>
      <c r="F37" s="4">
        <v>15</v>
      </c>
      <c r="G37" s="4">
        <v>38116</v>
      </c>
      <c r="H37" s="4">
        <v>0</v>
      </c>
      <c r="I37" s="5">
        <v>46074</v>
      </c>
      <c r="J37" s="5">
        <v>46078</v>
      </c>
      <c r="K37" s="6" t="s">
        <v>29</v>
      </c>
      <c r="L37" s="28">
        <f>F37*G37*(1-H37/100)</f>
        <v>571740</v>
      </c>
    </row>
    <row r="38" spans="1:12" ht="15.6" x14ac:dyDescent="0.3">
      <c r="A38" s="3">
        <v>1334</v>
      </c>
      <c r="B38" s="4" t="s">
        <v>40</v>
      </c>
      <c r="C38" s="4" t="s">
        <v>12</v>
      </c>
      <c r="D38" s="4" t="s">
        <v>34</v>
      </c>
      <c r="E38" s="4" t="s">
        <v>41</v>
      </c>
      <c r="F38" s="4">
        <v>15</v>
      </c>
      <c r="G38" s="4">
        <v>39853</v>
      </c>
      <c r="H38" s="4">
        <v>7</v>
      </c>
      <c r="I38" s="5">
        <v>46038</v>
      </c>
      <c r="J38" s="5">
        <v>46047</v>
      </c>
      <c r="K38" s="6" t="s">
        <v>51</v>
      </c>
      <c r="L38" s="28">
        <f>F38*G38*(1-H38/100)</f>
        <v>555949.35</v>
      </c>
    </row>
    <row r="39" spans="1:12" ht="15.6" x14ac:dyDescent="0.3">
      <c r="A39" s="3">
        <v>1080</v>
      </c>
      <c r="B39" s="4" t="s">
        <v>21</v>
      </c>
      <c r="C39" s="4" t="s">
        <v>22</v>
      </c>
      <c r="D39" s="4" t="s">
        <v>34</v>
      </c>
      <c r="E39" s="4" t="s">
        <v>41</v>
      </c>
      <c r="F39" s="4">
        <v>12</v>
      </c>
      <c r="G39" s="4">
        <v>54161</v>
      </c>
      <c r="H39" s="4">
        <v>15</v>
      </c>
      <c r="I39" s="5">
        <v>46133</v>
      </c>
      <c r="J39" s="5">
        <v>46143</v>
      </c>
      <c r="K39" s="6" t="s">
        <v>24</v>
      </c>
      <c r="L39" s="28">
        <f>F39*G39*(1-H39/100)</f>
        <v>552442.19999999995</v>
      </c>
    </row>
    <row r="40" spans="1:12" ht="15.6" x14ac:dyDescent="0.3">
      <c r="A40" s="3">
        <v>1163</v>
      </c>
      <c r="B40" s="4" t="s">
        <v>29</v>
      </c>
      <c r="C40" s="4" t="s">
        <v>38</v>
      </c>
      <c r="D40" s="4" t="s">
        <v>34</v>
      </c>
      <c r="E40" s="4" t="s">
        <v>39</v>
      </c>
      <c r="F40" s="4">
        <v>9</v>
      </c>
      <c r="G40" s="4">
        <v>62440</v>
      </c>
      <c r="H40" s="4">
        <v>2</v>
      </c>
      <c r="I40" s="5">
        <v>46081</v>
      </c>
      <c r="J40" s="5">
        <v>46086</v>
      </c>
      <c r="K40" s="6" t="s">
        <v>29</v>
      </c>
      <c r="L40" s="28">
        <f>F40*G40*(1-H40/100)</f>
        <v>550720.80000000005</v>
      </c>
    </row>
    <row r="41" spans="1:12" ht="15.6" x14ac:dyDescent="0.3">
      <c r="A41" s="3">
        <v>1071</v>
      </c>
      <c r="B41" s="4" t="s">
        <v>59</v>
      </c>
      <c r="C41" s="4" t="s">
        <v>22</v>
      </c>
      <c r="D41" s="4" t="s">
        <v>34</v>
      </c>
      <c r="E41" s="4" t="s">
        <v>61</v>
      </c>
      <c r="F41" s="4">
        <v>18</v>
      </c>
      <c r="G41" s="4">
        <v>32197</v>
      </c>
      <c r="H41" s="4">
        <v>5</v>
      </c>
      <c r="I41" s="5">
        <v>46129</v>
      </c>
      <c r="J41" s="5">
        <v>46137</v>
      </c>
      <c r="K41" s="6" t="s">
        <v>20</v>
      </c>
      <c r="L41" s="28">
        <f>F41*G41*(1-H41/100)</f>
        <v>550568.69999999995</v>
      </c>
    </row>
    <row r="42" spans="1:12" ht="15.6" x14ac:dyDescent="0.3">
      <c r="A42" s="3">
        <v>1272</v>
      </c>
      <c r="B42" s="4" t="s">
        <v>52</v>
      </c>
      <c r="C42" s="4" t="s">
        <v>38</v>
      </c>
      <c r="D42" s="4" t="s">
        <v>34</v>
      </c>
      <c r="E42" s="4" t="s">
        <v>41</v>
      </c>
      <c r="F42" s="4">
        <v>13</v>
      </c>
      <c r="G42" s="4">
        <v>42179</v>
      </c>
      <c r="H42" s="4">
        <v>0</v>
      </c>
      <c r="I42" s="5">
        <v>46078</v>
      </c>
      <c r="J42" s="5">
        <v>46084</v>
      </c>
      <c r="K42" s="6" t="s">
        <v>20</v>
      </c>
      <c r="L42" s="28">
        <f>F42*G42*(1-H42/100)</f>
        <v>548327</v>
      </c>
    </row>
    <row r="43" spans="1:12" ht="15.6" x14ac:dyDescent="0.3">
      <c r="A43" s="3">
        <v>1345</v>
      </c>
      <c r="B43" s="4" t="s">
        <v>32</v>
      </c>
      <c r="C43" s="4" t="s">
        <v>12</v>
      </c>
      <c r="D43" s="4" t="s">
        <v>34</v>
      </c>
      <c r="E43" s="4" t="s">
        <v>45</v>
      </c>
      <c r="F43" s="4">
        <v>12</v>
      </c>
      <c r="G43" s="4">
        <v>50544</v>
      </c>
      <c r="H43" s="4">
        <v>10</v>
      </c>
      <c r="I43" s="5">
        <v>46095</v>
      </c>
      <c r="J43" s="5">
        <v>46097</v>
      </c>
      <c r="K43" s="6" t="s">
        <v>29</v>
      </c>
      <c r="L43" s="28">
        <f>F43*G43*(1-H43/100)</f>
        <v>545875.20000000007</v>
      </c>
    </row>
    <row r="44" spans="1:12" ht="15.6" x14ac:dyDescent="0.3">
      <c r="A44" s="3">
        <v>1305</v>
      </c>
      <c r="B44" s="4" t="s">
        <v>58</v>
      </c>
      <c r="C44" s="4" t="s">
        <v>31</v>
      </c>
      <c r="D44" s="4" t="s">
        <v>34</v>
      </c>
      <c r="E44" s="4" t="s">
        <v>60</v>
      </c>
      <c r="F44" s="4">
        <v>20</v>
      </c>
      <c r="G44" s="4">
        <v>31406</v>
      </c>
      <c r="H44" s="4">
        <v>15</v>
      </c>
      <c r="I44" s="5">
        <v>46146</v>
      </c>
      <c r="J44" s="5">
        <v>46154</v>
      </c>
      <c r="K44" s="6" t="s">
        <v>51</v>
      </c>
      <c r="L44" s="28">
        <f>F44*G44*(1-H44/100)</f>
        <v>533902</v>
      </c>
    </row>
    <row r="45" spans="1:12" ht="15.6" x14ac:dyDescent="0.3">
      <c r="A45" s="3">
        <v>1342</v>
      </c>
      <c r="B45" s="4" t="s">
        <v>59</v>
      </c>
      <c r="C45" s="4" t="s">
        <v>31</v>
      </c>
      <c r="D45" s="4" t="s">
        <v>34</v>
      </c>
      <c r="E45" s="4" t="s">
        <v>35</v>
      </c>
      <c r="F45" s="4">
        <v>13</v>
      </c>
      <c r="G45" s="4">
        <v>47881</v>
      </c>
      <c r="H45" s="4">
        <v>15</v>
      </c>
      <c r="I45" s="5">
        <v>46132</v>
      </c>
      <c r="J45" s="5">
        <v>46139</v>
      </c>
      <c r="K45" s="6" t="s">
        <v>29</v>
      </c>
      <c r="L45" s="28">
        <f>F45*G45*(1-H45/100)</f>
        <v>529085.04999999993</v>
      </c>
    </row>
    <row r="46" spans="1:12" ht="15.6" x14ac:dyDescent="0.3">
      <c r="A46" s="3">
        <v>1184</v>
      </c>
      <c r="B46" s="4" t="s">
        <v>40</v>
      </c>
      <c r="C46" s="4" t="s">
        <v>31</v>
      </c>
      <c r="D46" s="4" t="s">
        <v>34</v>
      </c>
      <c r="E46" s="4" t="s">
        <v>39</v>
      </c>
      <c r="F46" s="4">
        <v>12</v>
      </c>
      <c r="G46" s="4">
        <v>50517</v>
      </c>
      <c r="H46" s="4">
        <v>15</v>
      </c>
      <c r="I46" s="5">
        <v>46145</v>
      </c>
      <c r="J46" s="5">
        <v>46153</v>
      </c>
      <c r="K46" s="6" t="s">
        <v>29</v>
      </c>
      <c r="L46" s="28">
        <f>F46*G46*(1-H46/100)</f>
        <v>515273.39999999997</v>
      </c>
    </row>
    <row r="47" spans="1:12" ht="15.6" x14ac:dyDescent="0.3">
      <c r="A47" s="3">
        <v>1142</v>
      </c>
      <c r="B47" s="4" t="s">
        <v>40</v>
      </c>
      <c r="C47" s="4" t="s">
        <v>25</v>
      </c>
      <c r="D47" s="4" t="s">
        <v>34</v>
      </c>
      <c r="E47" s="4" t="s">
        <v>60</v>
      </c>
      <c r="F47" s="4">
        <v>9</v>
      </c>
      <c r="G47" s="4">
        <v>59788</v>
      </c>
      <c r="H47" s="4">
        <v>7</v>
      </c>
      <c r="I47" s="5">
        <v>46064</v>
      </c>
      <c r="J47" s="5">
        <v>46071</v>
      </c>
      <c r="K47" s="6" t="s">
        <v>29</v>
      </c>
      <c r="L47" s="28">
        <f>F47*G47*(1-H47/100)</f>
        <v>500425.55999999994</v>
      </c>
    </row>
    <row r="48" spans="1:12" ht="15.6" x14ac:dyDescent="0.3">
      <c r="A48" s="3">
        <v>1172</v>
      </c>
      <c r="B48" s="4" t="s">
        <v>16</v>
      </c>
      <c r="C48" s="4" t="s">
        <v>12</v>
      </c>
      <c r="D48" s="4" t="s">
        <v>34</v>
      </c>
      <c r="E48" s="4" t="s">
        <v>45</v>
      </c>
      <c r="F48" s="4">
        <v>13</v>
      </c>
      <c r="G48" s="4">
        <v>43163</v>
      </c>
      <c r="H48" s="4">
        <v>12</v>
      </c>
      <c r="I48" s="5">
        <v>46120</v>
      </c>
      <c r="J48" s="5">
        <v>46129</v>
      </c>
      <c r="K48" s="6" t="s">
        <v>24</v>
      </c>
      <c r="L48" s="28">
        <f>F48*G48*(1-H48/100)</f>
        <v>493784.72000000003</v>
      </c>
    </row>
    <row r="49" spans="1:12" ht="15.6" x14ac:dyDescent="0.3">
      <c r="A49" s="3">
        <v>1117</v>
      </c>
      <c r="B49" s="4" t="s">
        <v>55</v>
      </c>
      <c r="C49" s="4" t="s">
        <v>43</v>
      </c>
      <c r="D49" s="4" t="s">
        <v>34</v>
      </c>
      <c r="E49" s="4" t="s">
        <v>39</v>
      </c>
      <c r="F49" s="4">
        <v>16</v>
      </c>
      <c r="G49" s="4">
        <v>33162</v>
      </c>
      <c r="H49" s="4">
        <v>7</v>
      </c>
      <c r="I49" s="5">
        <v>46147</v>
      </c>
      <c r="J49" s="5">
        <v>46155</v>
      </c>
      <c r="K49" s="6" t="s">
        <v>29</v>
      </c>
      <c r="L49" s="28">
        <f>F49*G49*(1-H49/100)</f>
        <v>493450.55999999994</v>
      </c>
    </row>
    <row r="50" spans="1:12" ht="15.6" x14ac:dyDescent="0.3">
      <c r="A50" s="3">
        <v>1076</v>
      </c>
      <c r="B50" s="4" t="s">
        <v>29</v>
      </c>
      <c r="C50" s="4" t="s">
        <v>17</v>
      </c>
      <c r="D50" s="4" t="s">
        <v>34</v>
      </c>
      <c r="E50" s="4" t="s">
        <v>35</v>
      </c>
      <c r="F50" s="4">
        <v>19</v>
      </c>
      <c r="G50" s="4">
        <v>26714</v>
      </c>
      <c r="H50" s="4">
        <v>5</v>
      </c>
      <c r="I50" s="5">
        <v>46045</v>
      </c>
      <c r="J50" s="5">
        <v>46055</v>
      </c>
      <c r="K50" s="6" t="s">
        <v>29</v>
      </c>
      <c r="L50" s="28">
        <f>F50*G50*(1-H50/100)</f>
        <v>482187.69999999995</v>
      </c>
    </row>
    <row r="51" spans="1:12" ht="15.6" x14ac:dyDescent="0.3">
      <c r="A51" s="3">
        <v>1216</v>
      </c>
      <c r="B51" s="4" t="s">
        <v>40</v>
      </c>
      <c r="C51" s="4" t="s">
        <v>22</v>
      </c>
      <c r="D51" s="4" t="s">
        <v>34</v>
      </c>
      <c r="E51" s="4" t="s">
        <v>45</v>
      </c>
      <c r="F51" s="4">
        <v>10</v>
      </c>
      <c r="G51" s="4">
        <v>56709</v>
      </c>
      <c r="H51" s="4">
        <v>15</v>
      </c>
      <c r="I51" s="5">
        <v>46135</v>
      </c>
      <c r="J51" s="5">
        <v>46139</v>
      </c>
      <c r="K51" s="6" t="s">
        <v>29</v>
      </c>
      <c r="L51" s="28">
        <f>F51*G51*(1-H51/100)</f>
        <v>482026.5</v>
      </c>
    </row>
    <row r="52" spans="1:12" ht="15.6" x14ac:dyDescent="0.3">
      <c r="A52" s="3">
        <v>1146</v>
      </c>
      <c r="B52" s="4" t="s">
        <v>16</v>
      </c>
      <c r="C52" s="4" t="s">
        <v>43</v>
      </c>
      <c r="D52" s="4" t="s">
        <v>34</v>
      </c>
      <c r="E52" s="4" t="s">
        <v>45</v>
      </c>
      <c r="F52" s="4">
        <v>7</v>
      </c>
      <c r="G52" s="4">
        <v>68217</v>
      </c>
      <c r="H52" s="4">
        <v>0</v>
      </c>
      <c r="I52" s="5">
        <v>46190</v>
      </c>
      <c r="J52" s="5">
        <v>46197</v>
      </c>
      <c r="K52" s="6" t="s">
        <v>29</v>
      </c>
      <c r="L52" s="28">
        <f>F52*G52*(1-H52/100)</f>
        <v>477519</v>
      </c>
    </row>
    <row r="53" spans="1:12" ht="15.6" x14ac:dyDescent="0.3">
      <c r="A53" s="3">
        <v>1289</v>
      </c>
      <c r="B53" s="4" t="s">
        <v>26</v>
      </c>
      <c r="C53" s="4" t="s">
        <v>22</v>
      </c>
      <c r="D53" s="4" t="s">
        <v>34</v>
      </c>
      <c r="E53" s="4" t="s">
        <v>45</v>
      </c>
      <c r="F53" s="4">
        <v>19</v>
      </c>
      <c r="G53" s="4">
        <v>25336</v>
      </c>
      <c r="H53" s="4">
        <v>2</v>
      </c>
      <c r="I53" s="5">
        <v>46122</v>
      </c>
      <c r="J53" s="5">
        <v>46130</v>
      </c>
      <c r="K53" s="6" t="s">
        <v>24</v>
      </c>
      <c r="L53" s="28">
        <f>F53*G53*(1-H53/100)</f>
        <v>471756.32</v>
      </c>
    </row>
    <row r="54" spans="1:12" ht="15.6" x14ac:dyDescent="0.3">
      <c r="A54" s="3">
        <v>1182</v>
      </c>
      <c r="B54" s="4" t="s">
        <v>42</v>
      </c>
      <c r="C54" s="4" t="s">
        <v>12</v>
      </c>
      <c r="D54" s="4" t="s">
        <v>34</v>
      </c>
      <c r="E54" s="4" t="s">
        <v>39</v>
      </c>
      <c r="F54" s="4">
        <v>8</v>
      </c>
      <c r="G54" s="4">
        <v>66022</v>
      </c>
      <c r="H54" s="4">
        <v>12</v>
      </c>
      <c r="I54" s="5">
        <v>46108</v>
      </c>
      <c r="J54" s="5">
        <v>46114</v>
      </c>
      <c r="K54" s="6" t="s">
        <v>24</v>
      </c>
      <c r="L54" s="28">
        <f>F54*G54*(1-H54/100)</f>
        <v>464794.88</v>
      </c>
    </row>
    <row r="55" spans="1:12" ht="15.6" x14ac:dyDescent="0.3">
      <c r="A55" s="3">
        <v>1373</v>
      </c>
      <c r="B55" s="4" t="s">
        <v>54</v>
      </c>
      <c r="C55" s="4" t="s">
        <v>25</v>
      </c>
      <c r="D55" s="4" t="s">
        <v>34</v>
      </c>
      <c r="E55" s="4" t="s">
        <v>60</v>
      </c>
      <c r="F55" s="4">
        <v>11</v>
      </c>
      <c r="G55" s="4">
        <v>47930</v>
      </c>
      <c r="H55" s="4">
        <v>12</v>
      </c>
      <c r="I55" s="5">
        <v>46191</v>
      </c>
      <c r="J55" s="5">
        <v>46201</v>
      </c>
      <c r="K55" s="6" t="s">
        <v>20</v>
      </c>
      <c r="L55" s="28">
        <f>F55*G55*(1-H55/100)</f>
        <v>463962.4</v>
      </c>
    </row>
    <row r="56" spans="1:12" ht="15.6" x14ac:dyDescent="0.3">
      <c r="A56" s="3">
        <v>1325</v>
      </c>
      <c r="B56" s="4" t="s">
        <v>48</v>
      </c>
      <c r="C56" s="4" t="s">
        <v>43</v>
      </c>
      <c r="D56" s="4" t="s">
        <v>34</v>
      </c>
      <c r="E56" s="4" t="s">
        <v>39</v>
      </c>
      <c r="F56" s="4">
        <v>9</v>
      </c>
      <c r="G56" s="4">
        <v>58442</v>
      </c>
      <c r="H56" s="4">
        <v>12</v>
      </c>
      <c r="I56" s="5">
        <v>46076</v>
      </c>
      <c r="J56" s="5">
        <v>46085</v>
      </c>
      <c r="K56" s="6" t="s">
        <v>20</v>
      </c>
      <c r="L56" s="28">
        <f>F56*G56*(1-H56/100)</f>
        <v>462860.64</v>
      </c>
    </row>
    <row r="57" spans="1:12" ht="15.6" x14ac:dyDescent="0.3">
      <c r="A57" s="3">
        <v>1225</v>
      </c>
      <c r="B57" s="4" t="s">
        <v>42</v>
      </c>
      <c r="C57" s="4" t="s">
        <v>31</v>
      </c>
      <c r="D57" s="4" t="s">
        <v>34</v>
      </c>
      <c r="E57" s="4" t="s">
        <v>35</v>
      </c>
      <c r="F57" s="4">
        <v>16</v>
      </c>
      <c r="G57" s="4">
        <v>32262</v>
      </c>
      <c r="H57" s="4">
        <v>12</v>
      </c>
      <c r="I57" s="5">
        <v>46125</v>
      </c>
      <c r="J57" s="5">
        <v>46126</v>
      </c>
      <c r="K57" s="6" t="s">
        <v>20</v>
      </c>
      <c r="L57" s="28">
        <f>F57*G57*(1-H57/100)</f>
        <v>454248.96000000002</v>
      </c>
    </row>
    <row r="58" spans="1:12" ht="15.6" x14ac:dyDescent="0.3">
      <c r="A58" s="3">
        <v>1288</v>
      </c>
      <c r="B58" s="4" t="s">
        <v>54</v>
      </c>
      <c r="C58" s="4" t="s">
        <v>22</v>
      </c>
      <c r="D58" s="4" t="s">
        <v>34</v>
      </c>
      <c r="E58" s="4" t="s">
        <v>60</v>
      </c>
      <c r="F58" s="4">
        <v>14</v>
      </c>
      <c r="G58" s="4">
        <v>35601</v>
      </c>
      <c r="H58" s="4">
        <v>10</v>
      </c>
      <c r="I58" s="5">
        <v>46179</v>
      </c>
      <c r="J58" s="5">
        <v>46187</v>
      </c>
      <c r="K58" s="6" t="s">
        <v>29</v>
      </c>
      <c r="L58" s="28">
        <f>F58*G58*(1-H58/100)</f>
        <v>448572.60000000003</v>
      </c>
    </row>
    <row r="59" spans="1:12" ht="15.6" x14ac:dyDescent="0.3">
      <c r="A59" s="3">
        <v>1317</v>
      </c>
      <c r="B59" s="4" t="s">
        <v>59</v>
      </c>
      <c r="C59" s="4" t="s">
        <v>33</v>
      </c>
      <c r="D59" s="4" t="s">
        <v>34</v>
      </c>
      <c r="E59" s="4" t="s">
        <v>41</v>
      </c>
      <c r="F59" s="4">
        <v>7</v>
      </c>
      <c r="G59" s="4">
        <v>67339</v>
      </c>
      <c r="H59" s="4">
        <v>5</v>
      </c>
      <c r="I59" s="5">
        <v>46159</v>
      </c>
      <c r="J59" s="5">
        <v>46169</v>
      </c>
      <c r="K59" s="6" t="s">
        <v>51</v>
      </c>
      <c r="L59" s="28">
        <f>F59*G59*(1-H59/100)</f>
        <v>447804.35</v>
      </c>
    </row>
    <row r="60" spans="1:12" ht="15.6" x14ac:dyDescent="0.3">
      <c r="A60" s="3">
        <v>1139</v>
      </c>
      <c r="B60" s="4" t="s">
        <v>55</v>
      </c>
      <c r="C60" s="4" t="s">
        <v>33</v>
      </c>
      <c r="D60" s="4" t="s">
        <v>34</v>
      </c>
      <c r="E60" s="4" t="s">
        <v>61</v>
      </c>
      <c r="F60" s="4">
        <v>17</v>
      </c>
      <c r="G60" s="4">
        <v>28839</v>
      </c>
      <c r="H60" s="4">
        <v>10</v>
      </c>
      <c r="I60" s="5">
        <v>46093</v>
      </c>
      <c r="J60" s="5">
        <v>46099</v>
      </c>
      <c r="K60" s="6" t="s">
        <v>15</v>
      </c>
      <c r="L60" s="28">
        <f>F60*G60*(1-H60/100)</f>
        <v>441236.7</v>
      </c>
    </row>
    <row r="61" spans="1:12" ht="15.6" x14ac:dyDescent="0.3">
      <c r="A61" s="3">
        <v>1393</v>
      </c>
      <c r="B61" s="4" t="s">
        <v>30</v>
      </c>
      <c r="C61" s="4" t="s">
        <v>25</v>
      </c>
      <c r="D61" s="4" t="s">
        <v>34</v>
      </c>
      <c r="E61" s="4" t="s">
        <v>45</v>
      </c>
      <c r="F61" s="4">
        <v>17</v>
      </c>
      <c r="G61" s="4">
        <v>30351</v>
      </c>
      <c r="H61" s="4">
        <v>15</v>
      </c>
      <c r="I61" s="5">
        <v>46047</v>
      </c>
      <c r="J61" s="5">
        <v>46051</v>
      </c>
      <c r="K61" s="6" t="s">
        <v>51</v>
      </c>
      <c r="L61" s="28">
        <f>F61*G61*(1-H61/100)</f>
        <v>438571.95</v>
      </c>
    </row>
    <row r="62" spans="1:12" ht="15.6" x14ac:dyDescent="0.3">
      <c r="A62" s="3">
        <v>1063</v>
      </c>
      <c r="B62" s="4" t="s">
        <v>54</v>
      </c>
      <c r="C62" s="4" t="s">
        <v>22</v>
      </c>
      <c r="D62" s="4" t="s">
        <v>34</v>
      </c>
      <c r="E62" s="4" t="s">
        <v>45</v>
      </c>
      <c r="F62" s="4">
        <v>7</v>
      </c>
      <c r="G62" s="4">
        <v>66744</v>
      </c>
      <c r="H62" s="4">
        <v>7</v>
      </c>
      <c r="I62" s="5">
        <v>46148</v>
      </c>
      <c r="J62" s="5">
        <v>46155</v>
      </c>
      <c r="K62" s="6" t="s">
        <v>15</v>
      </c>
      <c r="L62" s="28">
        <f>F62*G62*(1-H62/100)</f>
        <v>434503.43999999994</v>
      </c>
    </row>
    <row r="63" spans="1:12" ht="15.6" x14ac:dyDescent="0.3">
      <c r="A63" s="3">
        <v>1274</v>
      </c>
      <c r="B63" s="4" t="s">
        <v>26</v>
      </c>
      <c r="C63" s="4" t="s">
        <v>25</v>
      </c>
      <c r="D63" s="4" t="s">
        <v>34</v>
      </c>
      <c r="E63" s="4" t="s">
        <v>41</v>
      </c>
      <c r="F63" s="4">
        <v>13</v>
      </c>
      <c r="G63" s="4">
        <v>36652</v>
      </c>
      <c r="H63" s="4">
        <v>12</v>
      </c>
      <c r="I63" s="5">
        <v>46179</v>
      </c>
      <c r="J63" s="5">
        <v>46186</v>
      </c>
      <c r="K63" s="6" t="s">
        <v>20</v>
      </c>
      <c r="L63" s="28">
        <f>F63*G63*(1-H63/100)</f>
        <v>419298.88</v>
      </c>
    </row>
    <row r="64" spans="1:12" ht="15.6" x14ac:dyDescent="0.3">
      <c r="A64" s="3">
        <v>1016</v>
      </c>
      <c r="B64" s="4" t="s">
        <v>32</v>
      </c>
      <c r="C64" s="4" t="s">
        <v>33</v>
      </c>
      <c r="D64" s="4" t="s">
        <v>34</v>
      </c>
      <c r="E64" s="4" t="s">
        <v>45</v>
      </c>
      <c r="F64" s="4">
        <v>16</v>
      </c>
      <c r="G64" s="4">
        <v>30234</v>
      </c>
      <c r="H64" s="4">
        <v>15</v>
      </c>
      <c r="I64" s="5">
        <v>46137</v>
      </c>
      <c r="J64" s="5">
        <v>46140</v>
      </c>
      <c r="K64" s="6" t="s">
        <v>24</v>
      </c>
      <c r="L64" s="28">
        <f>F64*G64*(1-H64/100)</f>
        <v>411182.39999999997</v>
      </c>
    </row>
    <row r="65" spans="1:12" ht="15.6" x14ac:dyDescent="0.3">
      <c r="A65" s="3">
        <v>1268</v>
      </c>
      <c r="B65" s="4" t="s">
        <v>42</v>
      </c>
      <c r="C65" s="4" t="s">
        <v>38</v>
      </c>
      <c r="D65" s="4" t="s">
        <v>34</v>
      </c>
      <c r="E65" s="4" t="s">
        <v>45</v>
      </c>
      <c r="F65" s="4">
        <v>10</v>
      </c>
      <c r="G65" s="4">
        <v>46291</v>
      </c>
      <c r="H65" s="4">
        <v>12</v>
      </c>
      <c r="I65" s="5">
        <v>46199</v>
      </c>
      <c r="J65" s="5">
        <v>46202</v>
      </c>
      <c r="K65" s="6" t="s">
        <v>20</v>
      </c>
      <c r="L65" s="28">
        <f>F65*G65*(1-H65/100)</f>
        <v>407360.8</v>
      </c>
    </row>
    <row r="66" spans="1:12" ht="15.6" x14ac:dyDescent="0.3">
      <c r="A66" s="3">
        <v>1382</v>
      </c>
      <c r="B66" s="4" t="s">
        <v>49</v>
      </c>
      <c r="C66" s="4" t="s">
        <v>33</v>
      </c>
      <c r="D66" s="4" t="s">
        <v>34</v>
      </c>
      <c r="E66" s="4" t="s">
        <v>60</v>
      </c>
      <c r="F66" s="4">
        <v>11</v>
      </c>
      <c r="G66" s="4">
        <v>36198</v>
      </c>
      <c r="H66" s="4">
        <v>0</v>
      </c>
      <c r="I66" s="5">
        <v>46130</v>
      </c>
      <c r="J66" s="5">
        <v>46134</v>
      </c>
      <c r="K66" s="6" t="s">
        <v>15</v>
      </c>
      <c r="L66" s="28">
        <f>F66*G66*(1-H66/100)</f>
        <v>398178</v>
      </c>
    </row>
    <row r="67" spans="1:12" ht="15.6" x14ac:dyDescent="0.3">
      <c r="A67" s="3">
        <v>1213</v>
      </c>
      <c r="B67" s="4" t="s">
        <v>32</v>
      </c>
      <c r="C67" s="4" t="s">
        <v>38</v>
      </c>
      <c r="D67" s="4" t="s">
        <v>34</v>
      </c>
      <c r="E67" s="4" t="s">
        <v>45</v>
      </c>
      <c r="F67" s="4">
        <v>16</v>
      </c>
      <c r="G67" s="4">
        <v>27741</v>
      </c>
      <c r="H67" s="4">
        <v>12</v>
      </c>
      <c r="I67" s="5">
        <v>46116</v>
      </c>
      <c r="J67" s="5">
        <v>46119</v>
      </c>
      <c r="K67" s="6" t="s">
        <v>15</v>
      </c>
      <c r="L67" s="28">
        <f>F67*G67*(1-H67/100)</f>
        <v>390593.28000000003</v>
      </c>
    </row>
    <row r="68" spans="1:12" ht="15.6" x14ac:dyDescent="0.3">
      <c r="A68" s="3">
        <v>1343</v>
      </c>
      <c r="B68" s="4" t="s">
        <v>59</v>
      </c>
      <c r="C68" s="4" t="s">
        <v>31</v>
      </c>
      <c r="D68" s="4" t="s">
        <v>34</v>
      </c>
      <c r="E68" s="4" t="s">
        <v>39</v>
      </c>
      <c r="F68" s="4">
        <v>14</v>
      </c>
      <c r="G68" s="4">
        <v>32719</v>
      </c>
      <c r="H68" s="4">
        <v>15</v>
      </c>
      <c r="I68" s="5">
        <v>46174</v>
      </c>
      <c r="J68" s="5">
        <v>46179</v>
      </c>
      <c r="K68" s="6" t="s">
        <v>15</v>
      </c>
      <c r="L68" s="28">
        <f>F68*G68*(1-H68/100)</f>
        <v>389356.1</v>
      </c>
    </row>
    <row r="69" spans="1:12" ht="15.6" x14ac:dyDescent="0.3">
      <c r="A69" s="3">
        <v>1298</v>
      </c>
      <c r="B69" s="4" t="s">
        <v>21</v>
      </c>
      <c r="C69" s="4" t="s">
        <v>12</v>
      </c>
      <c r="D69" s="4" t="s">
        <v>34</v>
      </c>
      <c r="E69" s="4" t="s">
        <v>61</v>
      </c>
      <c r="F69" s="4">
        <v>19</v>
      </c>
      <c r="G69" s="4">
        <v>20745</v>
      </c>
      <c r="H69" s="4">
        <v>2</v>
      </c>
      <c r="I69" s="5">
        <v>46083</v>
      </c>
      <c r="J69" s="5">
        <v>46093</v>
      </c>
      <c r="K69" s="6" t="s">
        <v>24</v>
      </c>
      <c r="L69" s="28">
        <f>F69*G69*(1-H69/100)</f>
        <v>386271.89999999997</v>
      </c>
    </row>
    <row r="70" spans="1:12" ht="15.6" x14ac:dyDescent="0.3">
      <c r="A70" s="3">
        <v>1009</v>
      </c>
      <c r="B70" s="4" t="s">
        <v>32</v>
      </c>
      <c r="C70" s="4" t="s">
        <v>33</v>
      </c>
      <c r="D70" s="4" t="s">
        <v>34</v>
      </c>
      <c r="E70" s="4" t="s">
        <v>35</v>
      </c>
      <c r="F70" s="4">
        <v>10</v>
      </c>
      <c r="G70" s="4">
        <v>40671</v>
      </c>
      <c r="H70" s="4">
        <v>12</v>
      </c>
      <c r="I70" s="5">
        <v>46183</v>
      </c>
      <c r="J70" s="5">
        <v>46193</v>
      </c>
      <c r="K70" s="6" t="s">
        <v>24</v>
      </c>
      <c r="L70" s="28">
        <f>F70*G70*(1-H70/100)</f>
        <v>357904.8</v>
      </c>
    </row>
    <row r="71" spans="1:12" ht="15.6" x14ac:dyDescent="0.3">
      <c r="A71" s="3">
        <v>1209</v>
      </c>
      <c r="B71" s="4" t="s">
        <v>48</v>
      </c>
      <c r="C71" s="4" t="s">
        <v>38</v>
      </c>
      <c r="D71" s="4" t="s">
        <v>34</v>
      </c>
      <c r="E71" s="4" t="s">
        <v>35</v>
      </c>
      <c r="F71" s="4">
        <v>19</v>
      </c>
      <c r="G71" s="4">
        <v>20284</v>
      </c>
      <c r="H71" s="4">
        <v>10</v>
      </c>
      <c r="I71" s="5">
        <v>46103</v>
      </c>
      <c r="J71" s="5">
        <v>46110</v>
      </c>
      <c r="K71" s="6" t="s">
        <v>20</v>
      </c>
      <c r="L71" s="28">
        <f>F71*G71*(1-H71/100)</f>
        <v>346856.4</v>
      </c>
    </row>
    <row r="72" spans="1:12" ht="15.6" x14ac:dyDescent="0.3">
      <c r="A72" s="3">
        <v>1359</v>
      </c>
      <c r="B72" s="4" t="s">
        <v>54</v>
      </c>
      <c r="C72" s="4" t="s">
        <v>12</v>
      </c>
      <c r="D72" s="4" t="s">
        <v>34</v>
      </c>
      <c r="E72" s="4" t="s">
        <v>61</v>
      </c>
      <c r="F72" s="4">
        <v>9</v>
      </c>
      <c r="G72" s="4">
        <v>38179</v>
      </c>
      <c r="H72" s="4">
        <v>0</v>
      </c>
      <c r="I72" s="5">
        <v>46096</v>
      </c>
      <c r="J72" s="5">
        <v>46099</v>
      </c>
      <c r="K72" s="6" t="s">
        <v>15</v>
      </c>
      <c r="L72" s="28">
        <f>F72*G72*(1-H72/100)</f>
        <v>343611</v>
      </c>
    </row>
    <row r="73" spans="1:12" ht="15.6" x14ac:dyDescent="0.3">
      <c r="A73" s="3">
        <v>1160</v>
      </c>
      <c r="B73" s="4" t="s">
        <v>59</v>
      </c>
      <c r="C73" s="4" t="s">
        <v>22</v>
      </c>
      <c r="D73" s="4" t="s">
        <v>34</v>
      </c>
      <c r="E73" s="4" t="s">
        <v>39</v>
      </c>
      <c r="F73" s="4">
        <v>7</v>
      </c>
      <c r="G73" s="4">
        <v>53986</v>
      </c>
      <c r="H73" s="4">
        <v>10</v>
      </c>
      <c r="I73" s="5">
        <v>46142</v>
      </c>
      <c r="J73" s="5">
        <v>46147</v>
      </c>
      <c r="K73" s="6" t="s">
        <v>51</v>
      </c>
      <c r="L73" s="28">
        <f>F73*G73*(1-H73/100)</f>
        <v>340111.8</v>
      </c>
    </row>
    <row r="74" spans="1:12" ht="15.6" x14ac:dyDescent="0.3">
      <c r="A74" s="3">
        <v>1259</v>
      </c>
      <c r="B74" s="4" t="s">
        <v>42</v>
      </c>
      <c r="C74" s="4" t="s">
        <v>22</v>
      </c>
      <c r="D74" s="4" t="s">
        <v>34</v>
      </c>
      <c r="E74" s="4" t="s">
        <v>45</v>
      </c>
      <c r="F74" s="4">
        <v>10</v>
      </c>
      <c r="G74" s="4">
        <v>38771</v>
      </c>
      <c r="H74" s="4">
        <v>15</v>
      </c>
      <c r="I74" s="5">
        <v>46172</v>
      </c>
      <c r="J74" s="5">
        <v>46182</v>
      </c>
      <c r="K74" s="6" t="s">
        <v>15</v>
      </c>
      <c r="L74" s="28">
        <f>F74*G74*(1-H74/100)</f>
        <v>329553.5</v>
      </c>
    </row>
    <row r="75" spans="1:12" ht="15.6" x14ac:dyDescent="0.3">
      <c r="A75" s="3">
        <v>1257</v>
      </c>
      <c r="B75" s="4" t="s">
        <v>54</v>
      </c>
      <c r="C75" s="4" t="s">
        <v>25</v>
      </c>
      <c r="D75" s="4" t="s">
        <v>34</v>
      </c>
      <c r="E75" s="4" t="s">
        <v>61</v>
      </c>
      <c r="F75" s="4">
        <v>7</v>
      </c>
      <c r="G75" s="4">
        <v>53243</v>
      </c>
      <c r="H75" s="4">
        <v>12</v>
      </c>
      <c r="I75" s="5">
        <v>46161</v>
      </c>
      <c r="J75" s="5">
        <v>46171</v>
      </c>
      <c r="K75" s="6" t="s">
        <v>15</v>
      </c>
      <c r="L75" s="28">
        <f>F75*G75*(1-H75/100)</f>
        <v>327976.88</v>
      </c>
    </row>
    <row r="76" spans="1:12" ht="15.6" x14ac:dyDescent="0.3">
      <c r="A76" s="3">
        <v>1140</v>
      </c>
      <c r="B76" s="4" t="s">
        <v>57</v>
      </c>
      <c r="C76" s="4" t="s">
        <v>38</v>
      </c>
      <c r="D76" s="4" t="s">
        <v>34</v>
      </c>
      <c r="E76" s="4" t="s">
        <v>41</v>
      </c>
      <c r="F76" s="4">
        <v>5</v>
      </c>
      <c r="G76" s="4">
        <v>68012</v>
      </c>
      <c r="H76" s="4">
        <v>5</v>
      </c>
      <c r="I76" s="5">
        <v>46061</v>
      </c>
      <c r="J76" s="5">
        <v>46065</v>
      </c>
      <c r="K76" s="6" t="s">
        <v>15</v>
      </c>
      <c r="L76" s="28">
        <f>F76*G76*(1-H76/100)</f>
        <v>323057</v>
      </c>
    </row>
    <row r="77" spans="1:12" ht="15.6" x14ac:dyDescent="0.3">
      <c r="A77" s="3">
        <v>1212</v>
      </c>
      <c r="B77" s="4" t="s">
        <v>59</v>
      </c>
      <c r="C77" s="4" t="s">
        <v>25</v>
      </c>
      <c r="D77" s="4" t="s">
        <v>34</v>
      </c>
      <c r="E77" s="4" t="s">
        <v>60</v>
      </c>
      <c r="F77" s="4">
        <v>10</v>
      </c>
      <c r="G77" s="4">
        <v>34380</v>
      </c>
      <c r="H77" s="4">
        <v>7</v>
      </c>
      <c r="I77" s="5">
        <v>46194</v>
      </c>
      <c r="J77" s="5">
        <v>46195</v>
      </c>
      <c r="K77" s="6" t="s">
        <v>29</v>
      </c>
      <c r="L77" s="28">
        <f>F77*G77*(1-H77/100)</f>
        <v>319734</v>
      </c>
    </row>
    <row r="78" spans="1:12" ht="15.6" x14ac:dyDescent="0.3">
      <c r="A78" s="3">
        <v>1363</v>
      </c>
      <c r="B78" s="4" t="s">
        <v>27</v>
      </c>
      <c r="C78" s="4" t="s">
        <v>25</v>
      </c>
      <c r="D78" s="4" t="s">
        <v>34</v>
      </c>
      <c r="E78" s="4" t="s">
        <v>35</v>
      </c>
      <c r="F78" s="4">
        <v>7</v>
      </c>
      <c r="G78" s="4">
        <v>45381</v>
      </c>
      <c r="H78" s="4">
        <v>0</v>
      </c>
      <c r="I78" s="5">
        <v>46122</v>
      </c>
      <c r="J78" s="5">
        <v>46128</v>
      </c>
      <c r="K78" s="6" t="s">
        <v>15</v>
      </c>
      <c r="L78" s="28">
        <f>F78*G78*(1-H78/100)</f>
        <v>317667</v>
      </c>
    </row>
    <row r="79" spans="1:12" ht="15.6" x14ac:dyDescent="0.3">
      <c r="A79" s="3">
        <v>1391</v>
      </c>
      <c r="B79" s="4" t="s">
        <v>30</v>
      </c>
      <c r="C79" s="4" t="s">
        <v>31</v>
      </c>
      <c r="D79" s="4" t="s">
        <v>34</v>
      </c>
      <c r="E79" s="4" t="s">
        <v>35</v>
      </c>
      <c r="F79" s="4">
        <v>5</v>
      </c>
      <c r="G79" s="4">
        <v>65270</v>
      </c>
      <c r="H79" s="4">
        <v>5</v>
      </c>
      <c r="I79" s="5">
        <v>46100</v>
      </c>
      <c r="J79" s="5">
        <v>46103</v>
      </c>
      <c r="K79" s="6" t="s">
        <v>24</v>
      </c>
      <c r="L79" s="28">
        <f>F79*G79*(1-H79/100)</f>
        <v>310032.5</v>
      </c>
    </row>
    <row r="80" spans="1:12" ht="15.6" x14ac:dyDescent="0.3">
      <c r="A80" s="3">
        <v>1297</v>
      </c>
      <c r="B80" s="4" t="s">
        <v>54</v>
      </c>
      <c r="C80" s="4" t="s">
        <v>25</v>
      </c>
      <c r="D80" s="4" t="s">
        <v>34</v>
      </c>
      <c r="E80" s="4" t="s">
        <v>35</v>
      </c>
      <c r="F80" s="4">
        <v>14</v>
      </c>
      <c r="G80" s="4">
        <v>24524</v>
      </c>
      <c r="H80" s="4">
        <v>10</v>
      </c>
      <c r="I80" s="5">
        <v>46178</v>
      </c>
      <c r="J80" s="5">
        <v>46187</v>
      </c>
      <c r="K80" s="6" t="s">
        <v>29</v>
      </c>
      <c r="L80" s="28">
        <f>F80*G80*(1-H80/100)</f>
        <v>309002.40000000002</v>
      </c>
    </row>
    <row r="81" spans="1:12" ht="15.6" x14ac:dyDescent="0.3">
      <c r="A81" s="3">
        <v>1101</v>
      </c>
      <c r="B81" s="4" t="s">
        <v>27</v>
      </c>
      <c r="C81" s="4" t="s">
        <v>22</v>
      </c>
      <c r="D81" s="4" t="s">
        <v>34</v>
      </c>
      <c r="E81" s="4" t="s">
        <v>61</v>
      </c>
      <c r="F81" s="4">
        <v>9</v>
      </c>
      <c r="G81" s="4">
        <v>37361</v>
      </c>
      <c r="H81" s="4">
        <v>10</v>
      </c>
      <c r="I81" s="5">
        <v>46141</v>
      </c>
      <c r="J81" s="5">
        <v>46142</v>
      </c>
      <c r="K81" s="6" t="s">
        <v>24</v>
      </c>
      <c r="L81" s="28">
        <f>F81*G81*(1-H81/100)</f>
        <v>302624.10000000003</v>
      </c>
    </row>
    <row r="82" spans="1:12" ht="15.6" x14ac:dyDescent="0.3">
      <c r="A82" s="3">
        <v>1378</v>
      </c>
      <c r="B82" s="4" t="s">
        <v>55</v>
      </c>
      <c r="C82" s="4" t="s">
        <v>22</v>
      </c>
      <c r="D82" s="4" t="s">
        <v>34</v>
      </c>
      <c r="E82" s="4" t="s">
        <v>45</v>
      </c>
      <c r="F82" s="4">
        <v>15</v>
      </c>
      <c r="G82" s="4">
        <v>22693</v>
      </c>
      <c r="H82" s="4">
        <v>12</v>
      </c>
      <c r="I82" s="5">
        <v>46074</v>
      </c>
      <c r="J82" s="5">
        <v>46080</v>
      </c>
      <c r="K82" s="6" t="s">
        <v>51</v>
      </c>
      <c r="L82" s="28">
        <f>F82*G82*(1-H82/100)</f>
        <v>299547.59999999998</v>
      </c>
    </row>
    <row r="83" spans="1:12" ht="15.6" x14ac:dyDescent="0.3">
      <c r="A83" s="3">
        <v>1392</v>
      </c>
      <c r="B83" s="4" t="s">
        <v>29</v>
      </c>
      <c r="C83" s="4" t="s">
        <v>43</v>
      </c>
      <c r="D83" s="4" t="s">
        <v>34</v>
      </c>
      <c r="E83" s="4" t="s">
        <v>35</v>
      </c>
      <c r="F83" s="4">
        <v>13</v>
      </c>
      <c r="G83" s="4">
        <v>23903</v>
      </c>
      <c r="H83" s="4">
        <v>5</v>
      </c>
      <c r="I83" s="5">
        <v>46124</v>
      </c>
      <c r="J83" s="5">
        <v>46125</v>
      </c>
      <c r="K83" s="6" t="s">
        <v>29</v>
      </c>
      <c r="L83" s="28">
        <f>F83*G83*(1-H83/100)</f>
        <v>295202.05</v>
      </c>
    </row>
    <row r="84" spans="1:12" ht="15.6" x14ac:dyDescent="0.3">
      <c r="A84" s="3">
        <v>1126</v>
      </c>
      <c r="B84" s="4" t="s">
        <v>46</v>
      </c>
      <c r="C84" s="4" t="s">
        <v>22</v>
      </c>
      <c r="D84" s="4" t="s">
        <v>34</v>
      </c>
      <c r="E84" s="4" t="s">
        <v>39</v>
      </c>
      <c r="F84" s="4">
        <v>17</v>
      </c>
      <c r="G84" s="4">
        <v>19390</v>
      </c>
      <c r="H84" s="4">
        <v>12</v>
      </c>
      <c r="I84" s="5">
        <v>46201</v>
      </c>
      <c r="J84" s="5">
        <v>46206</v>
      </c>
      <c r="K84" s="6" t="s">
        <v>29</v>
      </c>
      <c r="L84" s="28">
        <f>F84*G84*(1-H84/100)</f>
        <v>290074.40000000002</v>
      </c>
    </row>
    <row r="85" spans="1:12" ht="15.6" x14ac:dyDescent="0.3">
      <c r="A85" s="3">
        <v>1226</v>
      </c>
      <c r="B85" s="4" t="s">
        <v>29</v>
      </c>
      <c r="C85" s="4" t="s">
        <v>31</v>
      </c>
      <c r="D85" s="4" t="s">
        <v>34</v>
      </c>
      <c r="E85" s="4" t="s">
        <v>41</v>
      </c>
      <c r="F85" s="4">
        <v>13</v>
      </c>
      <c r="G85" s="4">
        <v>21332</v>
      </c>
      <c r="H85" s="4">
        <v>0</v>
      </c>
      <c r="I85" s="5">
        <v>46044</v>
      </c>
      <c r="J85" s="5">
        <v>46048</v>
      </c>
      <c r="K85" s="6" t="s">
        <v>29</v>
      </c>
      <c r="L85" s="28">
        <f>F85*G85*(1-H85/100)</f>
        <v>277316</v>
      </c>
    </row>
    <row r="86" spans="1:12" ht="15.6" x14ac:dyDescent="0.3">
      <c r="A86" s="3">
        <v>1039</v>
      </c>
      <c r="B86" s="4" t="s">
        <v>48</v>
      </c>
      <c r="C86" s="4" t="s">
        <v>38</v>
      </c>
      <c r="D86" s="4" t="s">
        <v>34</v>
      </c>
      <c r="E86" s="4" t="s">
        <v>45</v>
      </c>
      <c r="F86" s="4">
        <v>5</v>
      </c>
      <c r="G86" s="4">
        <v>60236</v>
      </c>
      <c r="H86" s="4">
        <v>10</v>
      </c>
      <c r="I86" s="5">
        <v>46107</v>
      </c>
      <c r="J86" s="5">
        <v>46110</v>
      </c>
      <c r="K86" s="6" t="s">
        <v>20</v>
      </c>
      <c r="L86" s="28">
        <f>F86*G86*(1-H86/100)</f>
        <v>271062</v>
      </c>
    </row>
    <row r="87" spans="1:12" ht="15.6" x14ac:dyDescent="0.3">
      <c r="A87" s="3">
        <v>1224</v>
      </c>
      <c r="B87" s="4" t="s">
        <v>30</v>
      </c>
      <c r="C87" s="4" t="s">
        <v>38</v>
      </c>
      <c r="D87" s="4" t="s">
        <v>34</v>
      </c>
      <c r="E87" s="4" t="s">
        <v>45</v>
      </c>
      <c r="F87" s="4">
        <v>16</v>
      </c>
      <c r="G87" s="4">
        <v>18378</v>
      </c>
      <c r="H87" s="4">
        <v>10</v>
      </c>
      <c r="I87" s="5">
        <v>46045</v>
      </c>
      <c r="J87" s="5">
        <v>46052</v>
      </c>
      <c r="K87" s="6" t="s">
        <v>24</v>
      </c>
      <c r="L87" s="28">
        <f>F87*G87*(1-H87/100)</f>
        <v>264643.20000000001</v>
      </c>
    </row>
    <row r="88" spans="1:12" ht="15.6" x14ac:dyDescent="0.3">
      <c r="A88" s="3">
        <v>1292</v>
      </c>
      <c r="B88" s="4" t="s">
        <v>54</v>
      </c>
      <c r="C88" s="4" t="s">
        <v>33</v>
      </c>
      <c r="D88" s="4" t="s">
        <v>34</v>
      </c>
      <c r="E88" s="4" t="s">
        <v>61</v>
      </c>
      <c r="F88" s="4">
        <v>11</v>
      </c>
      <c r="G88" s="4">
        <v>25158</v>
      </c>
      <c r="H88" s="4">
        <v>5</v>
      </c>
      <c r="I88" s="5">
        <v>46186</v>
      </c>
      <c r="J88" s="5">
        <v>46193</v>
      </c>
      <c r="K88" s="6" t="s">
        <v>20</v>
      </c>
      <c r="L88" s="28">
        <f>F88*G88*(1-H88/100)</f>
        <v>262901.09999999998</v>
      </c>
    </row>
    <row r="89" spans="1:12" ht="15.6" x14ac:dyDescent="0.3">
      <c r="A89" s="3">
        <v>1214</v>
      </c>
      <c r="B89" s="4" t="s">
        <v>42</v>
      </c>
      <c r="C89" s="4" t="s">
        <v>25</v>
      </c>
      <c r="D89" s="4" t="s">
        <v>18</v>
      </c>
      <c r="E89" s="4" t="s">
        <v>28</v>
      </c>
      <c r="F89" s="4">
        <v>19</v>
      </c>
      <c r="G89" s="4">
        <v>13832</v>
      </c>
      <c r="H89" s="4">
        <v>0</v>
      </c>
      <c r="I89" s="5">
        <v>46140</v>
      </c>
      <c r="J89" s="5">
        <v>46145</v>
      </c>
      <c r="K89" s="6" t="s">
        <v>51</v>
      </c>
      <c r="L89" s="28">
        <f>F89*G89*(1-H89/100)</f>
        <v>262808</v>
      </c>
    </row>
    <row r="90" spans="1:12" ht="15.6" x14ac:dyDescent="0.3">
      <c r="A90" s="3">
        <v>1097</v>
      </c>
      <c r="B90" s="4" t="s">
        <v>52</v>
      </c>
      <c r="C90" s="4" t="s">
        <v>22</v>
      </c>
      <c r="D90" s="4" t="s">
        <v>34</v>
      </c>
      <c r="E90" s="4" t="s">
        <v>61</v>
      </c>
      <c r="F90" s="4">
        <v>10</v>
      </c>
      <c r="G90" s="4">
        <v>28980</v>
      </c>
      <c r="H90" s="4">
        <v>10</v>
      </c>
      <c r="I90" s="5">
        <v>46089</v>
      </c>
      <c r="J90" s="5">
        <v>46094</v>
      </c>
      <c r="K90" s="6" t="s">
        <v>24</v>
      </c>
      <c r="L90" s="28">
        <f>F90*G90*(1-H90/100)</f>
        <v>260820</v>
      </c>
    </row>
    <row r="91" spans="1:12" ht="15.6" x14ac:dyDescent="0.3">
      <c r="A91" s="3">
        <v>1228</v>
      </c>
      <c r="B91" s="4" t="s">
        <v>29</v>
      </c>
      <c r="C91" s="4" t="s">
        <v>25</v>
      </c>
      <c r="D91" s="4" t="s">
        <v>34</v>
      </c>
      <c r="E91" s="4" t="s">
        <v>45</v>
      </c>
      <c r="F91" s="4">
        <v>16</v>
      </c>
      <c r="G91" s="4">
        <v>17477</v>
      </c>
      <c r="H91" s="4">
        <v>10</v>
      </c>
      <c r="I91" s="5">
        <v>46041</v>
      </c>
      <c r="J91" s="5">
        <v>46043</v>
      </c>
      <c r="K91" s="6" t="s">
        <v>24</v>
      </c>
      <c r="L91" s="28">
        <f>F91*G91*(1-H91/100)</f>
        <v>251668.80000000002</v>
      </c>
    </row>
    <row r="92" spans="1:12" ht="15.6" x14ac:dyDescent="0.3">
      <c r="A92" s="3">
        <v>1134</v>
      </c>
      <c r="B92" s="4" t="s">
        <v>57</v>
      </c>
      <c r="C92" s="4" t="s">
        <v>31</v>
      </c>
      <c r="D92" s="4" t="s">
        <v>34</v>
      </c>
      <c r="E92" s="4" t="s">
        <v>61</v>
      </c>
      <c r="F92" s="4">
        <v>10</v>
      </c>
      <c r="G92" s="4">
        <v>29217</v>
      </c>
      <c r="H92" s="4">
        <v>15</v>
      </c>
      <c r="I92" s="5">
        <v>46148</v>
      </c>
      <c r="J92" s="5">
        <v>46150</v>
      </c>
      <c r="K92" s="6" t="s">
        <v>24</v>
      </c>
      <c r="L92" s="28">
        <f>F92*G92*(1-H92/100)</f>
        <v>248344.5</v>
      </c>
    </row>
    <row r="93" spans="1:12" ht="15.6" x14ac:dyDescent="0.3">
      <c r="A93" s="3">
        <v>1185</v>
      </c>
      <c r="B93" s="4" t="s">
        <v>58</v>
      </c>
      <c r="C93" s="4" t="s">
        <v>22</v>
      </c>
      <c r="D93" s="4" t="s">
        <v>34</v>
      </c>
      <c r="E93" s="4" t="s">
        <v>60</v>
      </c>
      <c r="F93" s="4">
        <v>16</v>
      </c>
      <c r="G93" s="4">
        <v>15536</v>
      </c>
      <c r="H93" s="4">
        <v>2</v>
      </c>
      <c r="I93" s="5">
        <v>46153</v>
      </c>
      <c r="J93" s="5">
        <v>46156</v>
      </c>
      <c r="K93" s="6" t="s">
        <v>15</v>
      </c>
      <c r="L93" s="28">
        <f>F93*G93*(1-H93/100)</f>
        <v>243604.47999999998</v>
      </c>
    </row>
    <row r="94" spans="1:12" ht="15.6" x14ac:dyDescent="0.3">
      <c r="A94" s="3">
        <v>1136</v>
      </c>
      <c r="B94" s="4" t="s">
        <v>27</v>
      </c>
      <c r="C94" s="4" t="s">
        <v>43</v>
      </c>
      <c r="D94" s="4" t="s">
        <v>18</v>
      </c>
      <c r="E94" s="4" t="s">
        <v>56</v>
      </c>
      <c r="F94" s="4">
        <v>19</v>
      </c>
      <c r="G94" s="4">
        <v>14528</v>
      </c>
      <c r="H94" s="4">
        <v>12</v>
      </c>
      <c r="I94" s="5">
        <v>46056</v>
      </c>
      <c r="J94" s="5">
        <v>46062</v>
      </c>
      <c r="K94" s="6" t="s">
        <v>24</v>
      </c>
      <c r="L94" s="28">
        <f>F94*G94*(1-H94/100)</f>
        <v>242908.16</v>
      </c>
    </row>
    <row r="95" spans="1:12" ht="15.6" x14ac:dyDescent="0.3">
      <c r="A95" s="3">
        <v>1310</v>
      </c>
      <c r="B95" s="4" t="s">
        <v>49</v>
      </c>
      <c r="C95" s="4" t="s">
        <v>17</v>
      </c>
      <c r="D95" s="4" t="s">
        <v>18</v>
      </c>
      <c r="E95" s="4" t="s">
        <v>56</v>
      </c>
      <c r="F95" s="4">
        <v>19</v>
      </c>
      <c r="G95" s="4">
        <v>12691</v>
      </c>
      <c r="H95" s="4">
        <v>0</v>
      </c>
      <c r="I95" s="5">
        <v>46181</v>
      </c>
      <c r="J95" s="5">
        <v>46189</v>
      </c>
      <c r="K95" s="6" t="s">
        <v>29</v>
      </c>
      <c r="L95" s="28">
        <f>F95*G95*(1-H95/100)</f>
        <v>241129</v>
      </c>
    </row>
    <row r="96" spans="1:12" ht="15.6" x14ac:dyDescent="0.3">
      <c r="A96" s="3">
        <v>1159</v>
      </c>
      <c r="B96" s="4" t="s">
        <v>32</v>
      </c>
      <c r="C96" s="4" t="s">
        <v>43</v>
      </c>
      <c r="D96" s="4" t="s">
        <v>18</v>
      </c>
      <c r="E96" s="4" t="s">
        <v>28</v>
      </c>
      <c r="F96" s="4">
        <v>20</v>
      </c>
      <c r="G96" s="4">
        <v>14000</v>
      </c>
      <c r="H96" s="4">
        <v>15</v>
      </c>
      <c r="I96" s="5">
        <v>46184</v>
      </c>
      <c r="J96" s="5">
        <v>46187</v>
      </c>
      <c r="K96" s="6" t="s">
        <v>15</v>
      </c>
      <c r="L96" s="28">
        <f>F96*G96*(1-H96/100)</f>
        <v>238000</v>
      </c>
    </row>
    <row r="97" spans="1:12" ht="15.6" x14ac:dyDescent="0.3">
      <c r="A97" s="3">
        <v>1233</v>
      </c>
      <c r="B97" s="4" t="s">
        <v>58</v>
      </c>
      <c r="C97" s="4" t="s">
        <v>22</v>
      </c>
      <c r="D97" s="4" t="s">
        <v>18</v>
      </c>
      <c r="E97" s="4" t="s">
        <v>19</v>
      </c>
      <c r="F97" s="4">
        <v>20</v>
      </c>
      <c r="G97" s="4">
        <v>13941</v>
      </c>
      <c r="H97" s="4">
        <v>15</v>
      </c>
      <c r="I97" s="5">
        <v>46198</v>
      </c>
      <c r="J97" s="5">
        <v>46202</v>
      </c>
      <c r="K97" s="6" t="s">
        <v>24</v>
      </c>
      <c r="L97" s="28">
        <f>F97*G97*(1-H97/100)</f>
        <v>236997</v>
      </c>
    </row>
    <row r="98" spans="1:12" ht="15.6" x14ac:dyDescent="0.3">
      <c r="A98" s="3">
        <v>1078</v>
      </c>
      <c r="B98" s="4" t="s">
        <v>52</v>
      </c>
      <c r="C98" s="4" t="s">
        <v>17</v>
      </c>
      <c r="D98" s="4" t="s">
        <v>34</v>
      </c>
      <c r="E98" s="4" t="s">
        <v>39</v>
      </c>
      <c r="F98" s="4">
        <v>11</v>
      </c>
      <c r="G98" s="4">
        <v>24278</v>
      </c>
      <c r="H98" s="4">
        <v>12</v>
      </c>
      <c r="I98" s="5">
        <v>46084</v>
      </c>
      <c r="J98" s="5">
        <v>46090</v>
      </c>
      <c r="K98" s="6" t="s">
        <v>29</v>
      </c>
      <c r="L98" s="28">
        <f>F98*G98*(1-H98/100)</f>
        <v>235011.04</v>
      </c>
    </row>
    <row r="99" spans="1:12" ht="15.6" x14ac:dyDescent="0.3">
      <c r="A99" s="3">
        <v>1075</v>
      </c>
      <c r="B99" s="4" t="s">
        <v>42</v>
      </c>
      <c r="C99" s="4" t="s">
        <v>43</v>
      </c>
      <c r="D99" s="4" t="s">
        <v>34</v>
      </c>
      <c r="E99" s="4" t="s">
        <v>61</v>
      </c>
      <c r="F99" s="4">
        <v>4</v>
      </c>
      <c r="G99" s="4">
        <v>64773</v>
      </c>
      <c r="H99" s="4">
        <v>10</v>
      </c>
      <c r="I99" s="5">
        <v>46185</v>
      </c>
      <c r="J99" s="5">
        <v>46186</v>
      </c>
      <c r="K99" s="6" t="s">
        <v>51</v>
      </c>
      <c r="L99" s="28">
        <f>F99*G99*(1-H99/100)</f>
        <v>233182.80000000002</v>
      </c>
    </row>
    <row r="100" spans="1:12" ht="15.6" x14ac:dyDescent="0.3">
      <c r="A100" s="3">
        <v>1032</v>
      </c>
      <c r="B100" s="4" t="s">
        <v>54</v>
      </c>
      <c r="C100" s="4" t="s">
        <v>43</v>
      </c>
      <c r="D100" s="4" t="s">
        <v>34</v>
      </c>
      <c r="E100" s="4" t="s">
        <v>39</v>
      </c>
      <c r="F100" s="4">
        <v>20</v>
      </c>
      <c r="G100" s="4">
        <v>11305</v>
      </c>
      <c r="H100" s="4">
        <v>2</v>
      </c>
      <c r="I100" s="5">
        <v>46163</v>
      </c>
      <c r="J100" s="5">
        <v>46165</v>
      </c>
      <c r="K100" s="6" t="s">
        <v>29</v>
      </c>
      <c r="L100" s="28">
        <f>F100*G100*(1-H100/100)</f>
        <v>221578</v>
      </c>
    </row>
    <row r="101" spans="1:12" ht="15.6" x14ac:dyDescent="0.3">
      <c r="A101" s="3">
        <v>1111</v>
      </c>
      <c r="B101" s="4" t="s">
        <v>47</v>
      </c>
      <c r="C101" s="4" t="s">
        <v>17</v>
      </c>
      <c r="D101" s="4" t="s">
        <v>34</v>
      </c>
      <c r="E101" s="4" t="s">
        <v>35</v>
      </c>
      <c r="F101" s="4">
        <v>5</v>
      </c>
      <c r="G101" s="4">
        <v>49945</v>
      </c>
      <c r="H101" s="4">
        <v>12</v>
      </c>
      <c r="I101" s="5">
        <v>46133</v>
      </c>
      <c r="J101" s="5">
        <v>46141</v>
      </c>
      <c r="K101" s="6" t="s">
        <v>29</v>
      </c>
      <c r="L101" s="28">
        <f>F101*G101*(1-H101/100)</f>
        <v>219758</v>
      </c>
    </row>
    <row r="102" spans="1:12" ht="15.6" x14ac:dyDescent="0.3">
      <c r="A102" s="3">
        <v>1121</v>
      </c>
      <c r="B102" s="4" t="s">
        <v>29</v>
      </c>
      <c r="C102" s="4" t="s">
        <v>12</v>
      </c>
      <c r="D102" s="4" t="s">
        <v>34</v>
      </c>
      <c r="E102" s="4" t="s">
        <v>39</v>
      </c>
      <c r="F102" s="4">
        <v>4</v>
      </c>
      <c r="G102" s="4">
        <v>55809</v>
      </c>
      <c r="H102" s="4">
        <v>2</v>
      </c>
      <c r="I102" s="5">
        <v>46103</v>
      </c>
      <c r="J102" s="5">
        <v>46108</v>
      </c>
      <c r="K102" s="6" t="s">
        <v>29</v>
      </c>
      <c r="L102" s="28">
        <f>F102*G102*(1-H102/100)</f>
        <v>218771.28</v>
      </c>
    </row>
    <row r="103" spans="1:12" ht="15.6" x14ac:dyDescent="0.3">
      <c r="A103" s="3">
        <v>1273</v>
      </c>
      <c r="B103" s="4" t="s">
        <v>46</v>
      </c>
      <c r="C103" s="4" t="s">
        <v>25</v>
      </c>
      <c r="D103" s="4" t="s">
        <v>34</v>
      </c>
      <c r="E103" s="4" t="s">
        <v>39</v>
      </c>
      <c r="F103" s="4">
        <v>12</v>
      </c>
      <c r="G103" s="4">
        <v>20618</v>
      </c>
      <c r="H103" s="4">
        <v>12</v>
      </c>
      <c r="I103" s="5">
        <v>46172</v>
      </c>
      <c r="J103" s="5">
        <v>46174</v>
      </c>
      <c r="K103" s="6" t="s">
        <v>20</v>
      </c>
      <c r="L103" s="28">
        <f>F103*G103*(1-H103/100)</f>
        <v>217726.07999999999</v>
      </c>
    </row>
    <row r="104" spans="1:12" ht="15.6" x14ac:dyDescent="0.3">
      <c r="A104" s="3">
        <v>1149</v>
      </c>
      <c r="B104" s="4" t="s">
        <v>26</v>
      </c>
      <c r="C104" s="4" t="s">
        <v>38</v>
      </c>
      <c r="D104" s="4" t="s">
        <v>34</v>
      </c>
      <c r="E104" s="4" t="s">
        <v>35</v>
      </c>
      <c r="F104" s="4">
        <v>10</v>
      </c>
      <c r="G104" s="4">
        <v>22853</v>
      </c>
      <c r="H104" s="4">
        <v>7</v>
      </c>
      <c r="I104" s="5">
        <v>46053</v>
      </c>
      <c r="J104" s="5">
        <v>46054</v>
      </c>
      <c r="K104" s="6" t="s">
        <v>29</v>
      </c>
      <c r="L104" s="28">
        <f>F104*G104*(1-H104/100)</f>
        <v>212532.9</v>
      </c>
    </row>
    <row r="105" spans="1:12" ht="15.6" x14ac:dyDescent="0.3">
      <c r="A105" s="3">
        <v>1068</v>
      </c>
      <c r="B105" s="4" t="s">
        <v>52</v>
      </c>
      <c r="C105" s="4" t="s">
        <v>43</v>
      </c>
      <c r="D105" s="4" t="s">
        <v>34</v>
      </c>
      <c r="E105" s="4" t="s">
        <v>60</v>
      </c>
      <c r="F105" s="4">
        <v>15</v>
      </c>
      <c r="G105" s="4">
        <v>14534</v>
      </c>
      <c r="H105" s="4">
        <v>5</v>
      </c>
      <c r="I105" s="5">
        <v>46196</v>
      </c>
      <c r="J105" s="5">
        <v>46199</v>
      </c>
      <c r="K105" s="6" t="s">
        <v>29</v>
      </c>
      <c r="L105" s="28">
        <f>F105*G105*(1-H105/100)</f>
        <v>207109.5</v>
      </c>
    </row>
    <row r="106" spans="1:12" ht="15.6" x14ac:dyDescent="0.3">
      <c r="A106" s="3">
        <v>1092</v>
      </c>
      <c r="B106" s="4" t="s">
        <v>21</v>
      </c>
      <c r="C106" s="4" t="s">
        <v>22</v>
      </c>
      <c r="D106" s="4" t="s">
        <v>34</v>
      </c>
      <c r="E106" s="4" t="s">
        <v>41</v>
      </c>
      <c r="F106" s="4">
        <v>9</v>
      </c>
      <c r="G106" s="4">
        <v>23438</v>
      </c>
      <c r="H106" s="4">
        <v>2</v>
      </c>
      <c r="I106" s="5">
        <v>46049</v>
      </c>
      <c r="J106" s="5">
        <v>46055</v>
      </c>
      <c r="K106" s="6" t="s">
        <v>29</v>
      </c>
      <c r="L106" s="28">
        <f>F106*G106*(1-H106/100)</f>
        <v>206723.16</v>
      </c>
    </row>
    <row r="107" spans="1:12" ht="15.6" x14ac:dyDescent="0.3">
      <c r="A107" s="3">
        <v>1161</v>
      </c>
      <c r="B107" s="4" t="s">
        <v>27</v>
      </c>
      <c r="C107" s="4" t="s">
        <v>25</v>
      </c>
      <c r="D107" s="4" t="s">
        <v>34</v>
      </c>
      <c r="E107" s="4" t="s">
        <v>39</v>
      </c>
      <c r="F107" s="4">
        <v>4</v>
      </c>
      <c r="G107" s="4">
        <v>54659</v>
      </c>
      <c r="H107" s="4">
        <v>7</v>
      </c>
      <c r="I107" s="5">
        <v>46105</v>
      </c>
      <c r="J107" s="5">
        <v>46109</v>
      </c>
      <c r="K107" s="6" t="s">
        <v>20</v>
      </c>
      <c r="L107" s="28">
        <f>F107*G107*(1-H107/100)</f>
        <v>203331.47999999998</v>
      </c>
    </row>
    <row r="108" spans="1:12" ht="15.6" x14ac:dyDescent="0.3">
      <c r="A108" s="3">
        <v>1197</v>
      </c>
      <c r="B108" s="4" t="s">
        <v>52</v>
      </c>
      <c r="C108" s="4" t="s">
        <v>31</v>
      </c>
      <c r="D108" s="4" t="s">
        <v>34</v>
      </c>
      <c r="E108" s="4" t="s">
        <v>35</v>
      </c>
      <c r="F108" s="4">
        <v>5</v>
      </c>
      <c r="G108" s="4">
        <v>45352</v>
      </c>
      <c r="H108" s="4">
        <v>12</v>
      </c>
      <c r="I108" s="5">
        <v>46045</v>
      </c>
      <c r="J108" s="5">
        <v>46048</v>
      </c>
      <c r="K108" s="6" t="s">
        <v>15</v>
      </c>
      <c r="L108" s="28">
        <f>F108*G108*(1-H108/100)</f>
        <v>199548.79999999999</v>
      </c>
    </row>
    <row r="109" spans="1:12" ht="15.6" x14ac:dyDescent="0.3">
      <c r="A109" s="3">
        <v>1175</v>
      </c>
      <c r="B109" s="4" t="s">
        <v>26</v>
      </c>
      <c r="C109" s="4" t="s">
        <v>17</v>
      </c>
      <c r="D109" s="4" t="s">
        <v>34</v>
      </c>
      <c r="E109" s="4" t="s">
        <v>41</v>
      </c>
      <c r="F109" s="4">
        <v>10</v>
      </c>
      <c r="G109" s="4">
        <v>20339</v>
      </c>
      <c r="H109" s="4">
        <v>2</v>
      </c>
      <c r="I109" s="5">
        <v>46088</v>
      </c>
      <c r="J109" s="5">
        <v>46094</v>
      </c>
      <c r="K109" s="6" t="s">
        <v>20</v>
      </c>
      <c r="L109" s="28">
        <f>F109*G109*(1-H109/100)</f>
        <v>199322.19999999998</v>
      </c>
    </row>
    <row r="110" spans="1:12" ht="15.6" x14ac:dyDescent="0.3">
      <c r="A110" s="3">
        <v>1108</v>
      </c>
      <c r="B110" s="4" t="s">
        <v>42</v>
      </c>
      <c r="C110" s="4" t="s">
        <v>33</v>
      </c>
      <c r="D110" s="4" t="s">
        <v>18</v>
      </c>
      <c r="E110" s="4" t="s">
        <v>28</v>
      </c>
      <c r="F110" s="4">
        <v>15</v>
      </c>
      <c r="G110" s="4">
        <v>13843</v>
      </c>
      <c r="H110" s="4">
        <v>7</v>
      </c>
      <c r="I110" s="5">
        <v>46119</v>
      </c>
      <c r="J110" s="5">
        <v>46127</v>
      </c>
      <c r="K110" s="6" t="s">
        <v>20</v>
      </c>
      <c r="L110" s="28">
        <f>F110*G110*(1-H110/100)</f>
        <v>193109.84999999998</v>
      </c>
    </row>
    <row r="111" spans="1:12" ht="15.6" x14ac:dyDescent="0.3">
      <c r="A111" s="3">
        <v>1354</v>
      </c>
      <c r="B111" s="4" t="s">
        <v>47</v>
      </c>
      <c r="C111" s="4" t="s">
        <v>43</v>
      </c>
      <c r="D111" s="4" t="s">
        <v>34</v>
      </c>
      <c r="E111" s="4" t="s">
        <v>35</v>
      </c>
      <c r="F111" s="4">
        <v>15</v>
      </c>
      <c r="G111" s="4">
        <v>14927</v>
      </c>
      <c r="H111" s="4">
        <v>15</v>
      </c>
      <c r="I111" s="5">
        <v>46118</v>
      </c>
      <c r="J111" s="5">
        <v>46120</v>
      </c>
      <c r="K111" s="6" t="s">
        <v>51</v>
      </c>
      <c r="L111" s="28">
        <f>F111*G111*(1-H111/100)</f>
        <v>190319.25</v>
      </c>
    </row>
    <row r="112" spans="1:12" ht="15.6" x14ac:dyDescent="0.3">
      <c r="A112" s="3">
        <v>1096</v>
      </c>
      <c r="B112" s="4" t="s">
        <v>49</v>
      </c>
      <c r="C112" s="4" t="s">
        <v>17</v>
      </c>
      <c r="D112" s="4" t="s">
        <v>18</v>
      </c>
      <c r="E112" s="4" t="s">
        <v>23</v>
      </c>
      <c r="F112" s="4">
        <v>15</v>
      </c>
      <c r="G112" s="4">
        <v>14724</v>
      </c>
      <c r="H112" s="4">
        <v>15</v>
      </c>
      <c r="I112" s="5">
        <v>46054</v>
      </c>
      <c r="J112" s="5">
        <v>46061</v>
      </c>
      <c r="K112" s="6" t="s">
        <v>20</v>
      </c>
      <c r="L112" s="28">
        <f>F112*G112*(1-H112/100)</f>
        <v>187731</v>
      </c>
    </row>
    <row r="113" spans="1:12" ht="15.6" x14ac:dyDescent="0.3">
      <c r="A113" s="3">
        <v>1290</v>
      </c>
      <c r="B113" s="4" t="s">
        <v>26</v>
      </c>
      <c r="C113" s="4" t="s">
        <v>22</v>
      </c>
      <c r="D113" s="4" t="s">
        <v>34</v>
      </c>
      <c r="E113" s="4" t="s">
        <v>35</v>
      </c>
      <c r="F113" s="4">
        <v>3</v>
      </c>
      <c r="G113" s="4">
        <v>69793</v>
      </c>
      <c r="H113" s="4">
        <v>15</v>
      </c>
      <c r="I113" s="5">
        <v>46110</v>
      </c>
      <c r="J113" s="5">
        <v>46111</v>
      </c>
      <c r="K113" s="6" t="s">
        <v>29</v>
      </c>
      <c r="L113" s="28">
        <f>F113*G113*(1-H113/100)</f>
        <v>177972.15</v>
      </c>
    </row>
    <row r="114" spans="1:12" ht="15.6" x14ac:dyDescent="0.3">
      <c r="A114" s="3">
        <v>1045</v>
      </c>
      <c r="B114" s="4" t="s">
        <v>32</v>
      </c>
      <c r="C114" s="4" t="s">
        <v>38</v>
      </c>
      <c r="D114" s="4" t="s">
        <v>34</v>
      </c>
      <c r="E114" s="4" t="s">
        <v>35</v>
      </c>
      <c r="F114" s="4">
        <v>3</v>
      </c>
      <c r="G114" s="4">
        <v>62762</v>
      </c>
      <c r="H114" s="4">
        <v>7</v>
      </c>
      <c r="I114" s="5">
        <v>46038</v>
      </c>
      <c r="J114" s="5">
        <v>46039</v>
      </c>
      <c r="K114" s="6" t="s">
        <v>29</v>
      </c>
      <c r="L114" s="28">
        <f>F114*G114*(1-H114/100)</f>
        <v>175105.97999999998</v>
      </c>
    </row>
    <row r="115" spans="1:12" ht="15.6" x14ac:dyDescent="0.3">
      <c r="A115" s="3">
        <v>1012</v>
      </c>
      <c r="B115" s="4" t="s">
        <v>26</v>
      </c>
      <c r="C115" s="4" t="s">
        <v>38</v>
      </c>
      <c r="D115" s="4" t="s">
        <v>34</v>
      </c>
      <c r="E115" s="4" t="s">
        <v>39</v>
      </c>
      <c r="F115" s="4">
        <v>3</v>
      </c>
      <c r="G115" s="4">
        <v>64615</v>
      </c>
      <c r="H115" s="4">
        <v>10</v>
      </c>
      <c r="I115" s="5">
        <v>46086</v>
      </c>
      <c r="J115" s="5">
        <v>46095</v>
      </c>
      <c r="K115" s="6" t="s">
        <v>29</v>
      </c>
      <c r="L115" s="28">
        <f>F115*G115*(1-H115/100)</f>
        <v>174460.5</v>
      </c>
    </row>
    <row r="116" spans="1:12" ht="15.6" x14ac:dyDescent="0.3">
      <c r="A116" s="3">
        <v>1022</v>
      </c>
      <c r="B116" s="4" t="s">
        <v>26</v>
      </c>
      <c r="C116" s="4" t="s">
        <v>17</v>
      </c>
      <c r="D116" s="4" t="s">
        <v>34</v>
      </c>
      <c r="E116" s="4" t="s">
        <v>45</v>
      </c>
      <c r="F116" s="4">
        <v>15</v>
      </c>
      <c r="G116" s="4">
        <v>11596</v>
      </c>
      <c r="H116" s="4">
        <v>0</v>
      </c>
      <c r="I116" s="5">
        <v>46117</v>
      </c>
      <c r="J116" s="5">
        <v>46121</v>
      </c>
      <c r="K116" s="6" t="s">
        <v>29</v>
      </c>
      <c r="L116" s="28">
        <f>F116*G116*(1-H116/100)</f>
        <v>173940</v>
      </c>
    </row>
    <row r="117" spans="1:12" ht="15.6" x14ac:dyDescent="0.3">
      <c r="A117" s="3">
        <v>1153</v>
      </c>
      <c r="B117" s="4" t="s">
        <v>42</v>
      </c>
      <c r="C117" s="4" t="s">
        <v>25</v>
      </c>
      <c r="D117" s="4" t="s">
        <v>18</v>
      </c>
      <c r="E117" s="4" t="s">
        <v>23</v>
      </c>
      <c r="F117" s="4">
        <v>19</v>
      </c>
      <c r="G117" s="4">
        <v>10273</v>
      </c>
      <c r="H117" s="4">
        <v>12</v>
      </c>
      <c r="I117" s="5">
        <v>46069</v>
      </c>
      <c r="J117" s="5">
        <v>46072</v>
      </c>
      <c r="K117" s="6" t="s">
        <v>29</v>
      </c>
      <c r="L117" s="28">
        <f>F117*G117*(1-H117/100)</f>
        <v>171764.56</v>
      </c>
    </row>
    <row r="118" spans="1:12" ht="15.6" x14ac:dyDescent="0.3">
      <c r="A118" s="3">
        <v>1066</v>
      </c>
      <c r="B118" s="4" t="s">
        <v>47</v>
      </c>
      <c r="C118" s="4" t="s">
        <v>25</v>
      </c>
      <c r="D118" s="4" t="s">
        <v>18</v>
      </c>
      <c r="E118" s="4" t="s">
        <v>44</v>
      </c>
      <c r="F118" s="4">
        <v>15</v>
      </c>
      <c r="G118" s="4">
        <v>11987</v>
      </c>
      <c r="H118" s="4">
        <v>5</v>
      </c>
      <c r="I118" s="5">
        <v>46082</v>
      </c>
      <c r="J118" s="5">
        <v>46083</v>
      </c>
      <c r="K118" s="6" t="s">
        <v>15</v>
      </c>
      <c r="L118" s="28">
        <f>F118*G118*(1-H118/100)</f>
        <v>170814.75</v>
      </c>
    </row>
    <row r="119" spans="1:12" ht="15.6" x14ac:dyDescent="0.3">
      <c r="A119" s="3">
        <v>1295</v>
      </c>
      <c r="B119" s="4" t="s">
        <v>52</v>
      </c>
      <c r="C119" s="4" t="s">
        <v>38</v>
      </c>
      <c r="D119" s="4" t="s">
        <v>18</v>
      </c>
      <c r="E119" s="4" t="s">
        <v>28</v>
      </c>
      <c r="F119" s="4">
        <v>16</v>
      </c>
      <c r="G119" s="4">
        <v>11935</v>
      </c>
      <c r="H119" s="4">
        <v>12</v>
      </c>
      <c r="I119" s="5">
        <v>46157</v>
      </c>
      <c r="J119" s="5">
        <v>46162</v>
      </c>
      <c r="K119" s="6" t="s">
        <v>15</v>
      </c>
      <c r="L119" s="28">
        <f>F119*G119*(1-H119/100)</f>
        <v>168044.79999999999</v>
      </c>
    </row>
    <row r="120" spans="1:12" ht="15.6" x14ac:dyDescent="0.3">
      <c r="A120" s="3">
        <v>1089</v>
      </c>
      <c r="B120" s="4" t="s">
        <v>46</v>
      </c>
      <c r="C120" s="4" t="s">
        <v>12</v>
      </c>
      <c r="D120" s="4" t="s">
        <v>34</v>
      </c>
      <c r="E120" s="4" t="s">
        <v>35</v>
      </c>
      <c r="F120" s="4">
        <v>10</v>
      </c>
      <c r="G120" s="4">
        <v>17041</v>
      </c>
      <c r="H120" s="4">
        <v>2</v>
      </c>
      <c r="I120" s="5">
        <v>46066</v>
      </c>
      <c r="J120" s="5">
        <v>46071</v>
      </c>
      <c r="K120" s="6" t="s">
        <v>24</v>
      </c>
      <c r="L120" s="28">
        <f>F120*G120*(1-H120/100)</f>
        <v>167001.79999999999</v>
      </c>
    </row>
    <row r="121" spans="1:12" ht="15.6" x14ac:dyDescent="0.3">
      <c r="A121" s="3">
        <v>1350</v>
      </c>
      <c r="B121" s="4" t="s">
        <v>26</v>
      </c>
      <c r="C121" s="4" t="s">
        <v>43</v>
      </c>
      <c r="D121" s="4" t="s">
        <v>18</v>
      </c>
      <c r="E121" s="4" t="s">
        <v>28</v>
      </c>
      <c r="F121" s="4">
        <v>16</v>
      </c>
      <c r="G121" s="4">
        <v>11790</v>
      </c>
      <c r="H121" s="4">
        <v>12</v>
      </c>
      <c r="I121" s="5">
        <v>46185</v>
      </c>
      <c r="J121" s="5">
        <v>46190</v>
      </c>
      <c r="K121" s="6" t="s">
        <v>29</v>
      </c>
      <c r="L121" s="28">
        <f>F121*G121*(1-H121/100)</f>
        <v>166003.20000000001</v>
      </c>
    </row>
    <row r="122" spans="1:12" ht="15.6" x14ac:dyDescent="0.3">
      <c r="A122" s="3">
        <v>1004</v>
      </c>
      <c r="B122" s="4" t="s">
        <v>16</v>
      </c>
      <c r="C122" s="4" t="s">
        <v>25</v>
      </c>
      <c r="D122" s="4" t="s">
        <v>18</v>
      </c>
      <c r="E122" s="4" t="s">
        <v>23</v>
      </c>
      <c r="F122" s="4">
        <v>16</v>
      </c>
      <c r="G122" s="4">
        <v>11739</v>
      </c>
      <c r="H122" s="4">
        <v>12</v>
      </c>
      <c r="I122" s="5">
        <v>46034</v>
      </c>
      <c r="J122" s="5">
        <v>46040</v>
      </c>
      <c r="K122" s="6" t="s">
        <v>20</v>
      </c>
      <c r="L122" s="28">
        <f>F122*G122*(1-H122/100)</f>
        <v>165285.12</v>
      </c>
    </row>
    <row r="123" spans="1:12" ht="15.6" x14ac:dyDescent="0.3">
      <c r="A123" s="3">
        <v>1389</v>
      </c>
      <c r="B123" s="4" t="s">
        <v>32</v>
      </c>
      <c r="C123" s="4" t="s">
        <v>12</v>
      </c>
      <c r="D123" s="4" t="s">
        <v>34</v>
      </c>
      <c r="E123" s="4" t="s">
        <v>41</v>
      </c>
      <c r="F123" s="4">
        <v>3</v>
      </c>
      <c r="G123" s="4">
        <v>56380</v>
      </c>
      <c r="H123" s="4">
        <v>5</v>
      </c>
      <c r="I123" s="5">
        <v>46044</v>
      </c>
      <c r="J123" s="5">
        <v>46048</v>
      </c>
      <c r="K123" s="6" t="s">
        <v>51</v>
      </c>
      <c r="L123" s="28">
        <f>F123*G123*(1-H123/100)</f>
        <v>160683</v>
      </c>
    </row>
    <row r="124" spans="1:12" ht="15.6" x14ac:dyDescent="0.3">
      <c r="A124" s="3">
        <v>1158</v>
      </c>
      <c r="B124" s="4" t="s">
        <v>26</v>
      </c>
      <c r="C124" s="4" t="s">
        <v>38</v>
      </c>
      <c r="D124" s="4" t="s">
        <v>34</v>
      </c>
      <c r="E124" s="4" t="s">
        <v>41</v>
      </c>
      <c r="F124" s="4">
        <v>13</v>
      </c>
      <c r="G124" s="4">
        <v>12518</v>
      </c>
      <c r="H124" s="4">
        <v>2</v>
      </c>
      <c r="I124" s="5">
        <v>46079</v>
      </c>
      <c r="J124" s="5">
        <v>46082</v>
      </c>
      <c r="K124" s="6" t="s">
        <v>51</v>
      </c>
      <c r="L124" s="28">
        <f>F124*G124*(1-H124/100)</f>
        <v>159479.32</v>
      </c>
    </row>
    <row r="125" spans="1:12" ht="15.6" x14ac:dyDescent="0.3">
      <c r="A125" s="3">
        <v>1395</v>
      </c>
      <c r="B125" s="4" t="s">
        <v>54</v>
      </c>
      <c r="C125" s="4" t="s">
        <v>33</v>
      </c>
      <c r="D125" s="4" t="s">
        <v>18</v>
      </c>
      <c r="E125" s="4" t="s">
        <v>44</v>
      </c>
      <c r="F125" s="4">
        <v>18</v>
      </c>
      <c r="G125" s="4">
        <v>10402</v>
      </c>
      <c r="H125" s="4">
        <v>15</v>
      </c>
      <c r="I125" s="5">
        <v>46062</v>
      </c>
      <c r="J125" s="5">
        <v>46067</v>
      </c>
      <c r="K125" s="6" t="s">
        <v>29</v>
      </c>
      <c r="L125" s="28">
        <f>F125*G125*(1-H125/100)</f>
        <v>159150.6</v>
      </c>
    </row>
    <row r="126" spans="1:12" ht="15.6" x14ac:dyDescent="0.3">
      <c r="A126" s="3">
        <v>1338</v>
      </c>
      <c r="B126" s="4" t="s">
        <v>59</v>
      </c>
      <c r="C126" s="4" t="s">
        <v>25</v>
      </c>
      <c r="D126" s="4" t="s">
        <v>34</v>
      </c>
      <c r="E126" s="4" t="s">
        <v>60</v>
      </c>
      <c r="F126" s="4">
        <v>10</v>
      </c>
      <c r="G126" s="4">
        <v>16719</v>
      </c>
      <c r="H126" s="4">
        <v>5</v>
      </c>
      <c r="I126" s="5">
        <v>46177</v>
      </c>
      <c r="J126" s="5">
        <v>46179</v>
      </c>
      <c r="K126" s="6" t="s">
        <v>15</v>
      </c>
      <c r="L126" s="28">
        <f>F126*G126*(1-H126/100)</f>
        <v>158830.5</v>
      </c>
    </row>
    <row r="127" spans="1:12" ht="15.6" x14ac:dyDescent="0.3">
      <c r="A127" s="3">
        <v>1330</v>
      </c>
      <c r="B127" s="4" t="s">
        <v>49</v>
      </c>
      <c r="C127" s="4" t="s">
        <v>17</v>
      </c>
      <c r="D127" s="4" t="s">
        <v>18</v>
      </c>
      <c r="E127" s="4" t="s">
        <v>19</v>
      </c>
      <c r="F127" s="4">
        <v>13</v>
      </c>
      <c r="G127" s="4">
        <v>12071</v>
      </c>
      <c r="H127" s="4">
        <v>0</v>
      </c>
      <c r="I127" s="5">
        <v>46032</v>
      </c>
      <c r="J127" s="5">
        <v>46036</v>
      </c>
      <c r="K127" s="6" t="s">
        <v>51</v>
      </c>
      <c r="L127" s="28">
        <f>F127*G127*(1-H127/100)</f>
        <v>156923</v>
      </c>
    </row>
    <row r="128" spans="1:12" ht="15.6" x14ac:dyDescent="0.3">
      <c r="A128" s="3">
        <v>1015</v>
      </c>
      <c r="B128" s="4" t="s">
        <v>42</v>
      </c>
      <c r="C128" s="4" t="s">
        <v>43</v>
      </c>
      <c r="D128" s="4" t="s">
        <v>18</v>
      </c>
      <c r="E128" s="4" t="s">
        <v>44</v>
      </c>
      <c r="F128" s="4">
        <v>11</v>
      </c>
      <c r="G128" s="4">
        <v>14511</v>
      </c>
      <c r="H128" s="4">
        <v>2</v>
      </c>
      <c r="I128" s="5">
        <v>46175</v>
      </c>
      <c r="J128" s="5">
        <v>46185</v>
      </c>
      <c r="K128" s="6" t="s">
        <v>20</v>
      </c>
      <c r="L128" s="28">
        <f>F128*G128*(1-H128/100)</f>
        <v>156428.57999999999</v>
      </c>
    </row>
    <row r="129" spans="1:12" ht="15.6" x14ac:dyDescent="0.3">
      <c r="A129" s="3">
        <v>1118</v>
      </c>
      <c r="B129" s="4" t="s">
        <v>21</v>
      </c>
      <c r="C129" s="4" t="s">
        <v>22</v>
      </c>
      <c r="D129" s="4" t="s">
        <v>18</v>
      </c>
      <c r="E129" s="4" t="s">
        <v>23</v>
      </c>
      <c r="F129" s="4">
        <v>18</v>
      </c>
      <c r="G129" s="4">
        <v>9118</v>
      </c>
      <c r="H129" s="4">
        <v>5</v>
      </c>
      <c r="I129" s="5">
        <v>46178</v>
      </c>
      <c r="J129" s="5">
        <v>46187</v>
      </c>
      <c r="K129" s="6" t="s">
        <v>29</v>
      </c>
      <c r="L129" s="28">
        <f>F129*G129*(1-H129/100)</f>
        <v>155917.79999999999</v>
      </c>
    </row>
    <row r="130" spans="1:12" ht="15.6" x14ac:dyDescent="0.3">
      <c r="A130" s="3">
        <v>1127</v>
      </c>
      <c r="B130" s="4" t="s">
        <v>26</v>
      </c>
      <c r="C130" s="4" t="s">
        <v>33</v>
      </c>
      <c r="D130" s="4" t="s">
        <v>18</v>
      </c>
      <c r="E130" s="4" t="s">
        <v>28</v>
      </c>
      <c r="F130" s="4">
        <v>15</v>
      </c>
      <c r="G130" s="4">
        <v>11694</v>
      </c>
      <c r="H130" s="4">
        <v>12</v>
      </c>
      <c r="I130" s="5">
        <v>46170</v>
      </c>
      <c r="J130" s="5">
        <v>46179</v>
      </c>
      <c r="K130" s="6" t="s">
        <v>29</v>
      </c>
      <c r="L130" s="28">
        <f>F130*G130*(1-H130/100)</f>
        <v>154360.79999999999</v>
      </c>
    </row>
    <row r="131" spans="1:12" ht="15.6" x14ac:dyDescent="0.3">
      <c r="A131" s="3">
        <v>1048</v>
      </c>
      <c r="B131" s="4" t="s">
        <v>59</v>
      </c>
      <c r="C131" s="4" t="s">
        <v>25</v>
      </c>
      <c r="D131" s="4" t="s">
        <v>34</v>
      </c>
      <c r="E131" s="4" t="s">
        <v>60</v>
      </c>
      <c r="F131" s="4">
        <v>14</v>
      </c>
      <c r="G131" s="4">
        <v>11762</v>
      </c>
      <c r="H131" s="4">
        <v>7</v>
      </c>
      <c r="I131" s="5">
        <v>46180</v>
      </c>
      <c r="J131" s="5">
        <v>46186</v>
      </c>
      <c r="K131" s="6" t="s">
        <v>24</v>
      </c>
      <c r="L131" s="28">
        <f>F131*G131*(1-H131/100)</f>
        <v>153141.24</v>
      </c>
    </row>
    <row r="132" spans="1:12" ht="15.6" x14ac:dyDescent="0.3">
      <c r="A132" s="3">
        <v>1067</v>
      </c>
      <c r="B132" s="4" t="s">
        <v>32</v>
      </c>
      <c r="C132" s="4" t="s">
        <v>43</v>
      </c>
      <c r="D132" s="4" t="s">
        <v>18</v>
      </c>
      <c r="E132" s="4" t="s">
        <v>56</v>
      </c>
      <c r="F132" s="4">
        <v>14</v>
      </c>
      <c r="G132" s="4">
        <v>10869</v>
      </c>
      <c r="H132" s="4">
        <v>0</v>
      </c>
      <c r="I132" s="5">
        <v>46058</v>
      </c>
      <c r="J132" s="5">
        <v>46062</v>
      </c>
      <c r="K132" s="6" t="s">
        <v>29</v>
      </c>
      <c r="L132" s="28">
        <f>F132*G132*(1-H132/100)</f>
        <v>152166</v>
      </c>
    </row>
    <row r="133" spans="1:12" ht="15.6" x14ac:dyDescent="0.3">
      <c r="A133" s="3">
        <v>1164</v>
      </c>
      <c r="B133" s="4" t="s">
        <v>40</v>
      </c>
      <c r="C133" s="4" t="s">
        <v>43</v>
      </c>
      <c r="D133" s="4" t="s">
        <v>34</v>
      </c>
      <c r="E133" s="4" t="s">
        <v>61</v>
      </c>
      <c r="F133" s="4">
        <v>7</v>
      </c>
      <c r="G133" s="4">
        <v>24615</v>
      </c>
      <c r="H133" s="4">
        <v>12</v>
      </c>
      <c r="I133" s="5">
        <v>46196</v>
      </c>
      <c r="J133" s="5">
        <v>46203</v>
      </c>
      <c r="K133" s="6" t="s">
        <v>51</v>
      </c>
      <c r="L133" s="28">
        <f>F133*G133*(1-H133/100)</f>
        <v>151628.4</v>
      </c>
    </row>
    <row r="134" spans="1:12" ht="15.6" x14ac:dyDescent="0.3">
      <c r="A134" s="3">
        <v>1186</v>
      </c>
      <c r="B134" s="4" t="s">
        <v>16</v>
      </c>
      <c r="C134" s="4" t="s">
        <v>25</v>
      </c>
      <c r="D134" s="4" t="s">
        <v>18</v>
      </c>
      <c r="E134" s="4" t="s">
        <v>44</v>
      </c>
      <c r="F134" s="4">
        <v>10</v>
      </c>
      <c r="G134" s="4">
        <v>14951</v>
      </c>
      <c r="H134" s="4">
        <v>2</v>
      </c>
      <c r="I134" s="5">
        <v>46188</v>
      </c>
      <c r="J134" s="5">
        <v>46196</v>
      </c>
      <c r="K134" s="6" t="s">
        <v>24</v>
      </c>
      <c r="L134" s="28">
        <f>F134*G134*(1-H134/100)</f>
        <v>146519.79999999999</v>
      </c>
    </row>
    <row r="135" spans="1:12" ht="15.6" x14ac:dyDescent="0.3">
      <c r="A135" s="3">
        <v>1025</v>
      </c>
      <c r="B135" s="4" t="s">
        <v>21</v>
      </c>
      <c r="C135" s="4" t="s">
        <v>12</v>
      </c>
      <c r="D135" s="4" t="s">
        <v>18</v>
      </c>
      <c r="E135" s="4" t="s">
        <v>19</v>
      </c>
      <c r="F135" s="4">
        <v>18</v>
      </c>
      <c r="G135" s="4">
        <v>7924</v>
      </c>
      <c r="H135" s="4">
        <v>0</v>
      </c>
      <c r="I135" s="5">
        <v>46175</v>
      </c>
      <c r="J135" s="5">
        <v>46181</v>
      </c>
      <c r="K135" s="6" t="s">
        <v>15</v>
      </c>
      <c r="L135" s="28">
        <f>F135*G135*(1-H135/100)</f>
        <v>142632</v>
      </c>
    </row>
    <row r="136" spans="1:12" ht="15.6" x14ac:dyDescent="0.3">
      <c r="A136" s="3">
        <v>1194</v>
      </c>
      <c r="B136" s="4" t="s">
        <v>57</v>
      </c>
      <c r="C136" s="4" t="s">
        <v>43</v>
      </c>
      <c r="D136" s="4" t="s">
        <v>18</v>
      </c>
      <c r="E136" s="4" t="s">
        <v>28</v>
      </c>
      <c r="F136" s="4">
        <v>13</v>
      </c>
      <c r="G136" s="4">
        <v>12856</v>
      </c>
      <c r="H136" s="4">
        <v>15</v>
      </c>
      <c r="I136" s="5">
        <v>46129</v>
      </c>
      <c r="J136" s="5">
        <v>46133</v>
      </c>
      <c r="K136" s="6" t="s">
        <v>51</v>
      </c>
      <c r="L136" s="28">
        <f>F136*G136*(1-H136/100)</f>
        <v>142058.79999999999</v>
      </c>
    </row>
    <row r="137" spans="1:12" ht="15.6" x14ac:dyDescent="0.3">
      <c r="A137" s="3">
        <v>1169</v>
      </c>
      <c r="B137" s="4" t="s">
        <v>47</v>
      </c>
      <c r="C137" s="4" t="s">
        <v>12</v>
      </c>
      <c r="D137" s="4" t="s">
        <v>18</v>
      </c>
      <c r="E137" s="4" t="s">
        <v>56</v>
      </c>
      <c r="F137" s="4">
        <v>12</v>
      </c>
      <c r="G137" s="4">
        <v>12104</v>
      </c>
      <c r="H137" s="4">
        <v>7</v>
      </c>
      <c r="I137" s="5">
        <v>46121</v>
      </c>
      <c r="J137" s="5">
        <v>46130</v>
      </c>
      <c r="K137" s="6" t="s">
        <v>24</v>
      </c>
      <c r="L137" s="28">
        <f>F137*G137*(1-H137/100)</f>
        <v>135080.63999999998</v>
      </c>
    </row>
    <row r="138" spans="1:12" ht="15.6" x14ac:dyDescent="0.3">
      <c r="A138" s="3">
        <v>1141</v>
      </c>
      <c r="B138" s="4" t="s">
        <v>11</v>
      </c>
      <c r="C138" s="4" t="s">
        <v>17</v>
      </c>
      <c r="D138" s="4" t="s">
        <v>18</v>
      </c>
      <c r="E138" s="4" t="s">
        <v>44</v>
      </c>
      <c r="F138" s="4">
        <v>20</v>
      </c>
      <c r="G138" s="4">
        <v>6835</v>
      </c>
      <c r="H138" s="4">
        <v>2</v>
      </c>
      <c r="I138" s="5">
        <v>46043</v>
      </c>
      <c r="J138" s="5">
        <v>46053</v>
      </c>
      <c r="K138" s="6" t="s">
        <v>15</v>
      </c>
      <c r="L138" s="28">
        <f>F138*G138*(1-H138/100)</f>
        <v>133966</v>
      </c>
    </row>
    <row r="139" spans="1:12" ht="15.6" x14ac:dyDescent="0.3">
      <c r="A139" s="3">
        <v>1398</v>
      </c>
      <c r="B139" s="4" t="s">
        <v>58</v>
      </c>
      <c r="C139" s="4" t="s">
        <v>43</v>
      </c>
      <c r="D139" s="4" t="s">
        <v>34</v>
      </c>
      <c r="E139" s="4" t="s">
        <v>39</v>
      </c>
      <c r="F139" s="4">
        <v>12</v>
      </c>
      <c r="G139" s="4">
        <v>10668</v>
      </c>
      <c r="H139" s="4">
        <v>0</v>
      </c>
      <c r="I139" s="5">
        <v>46170</v>
      </c>
      <c r="J139" s="5">
        <v>46176</v>
      </c>
      <c r="K139" s="6" t="s">
        <v>15</v>
      </c>
      <c r="L139" s="28">
        <f>F139*G139*(1-H139/100)</f>
        <v>128016</v>
      </c>
    </row>
    <row r="140" spans="1:12" ht="15.6" x14ac:dyDescent="0.3">
      <c r="A140" s="3">
        <v>1360</v>
      </c>
      <c r="B140" s="4" t="s">
        <v>11</v>
      </c>
      <c r="C140" s="4" t="s">
        <v>43</v>
      </c>
      <c r="D140" s="4" t="s">
        <v>18</v>
      </c>
      <c r="E140" s="4" t="s">
        <v>23</v>
      </c>
      <c r="F140" s="4">
        <v>19</v>
      </c>
      <c r="G140" s="4">
        <v>6681</v>
      </c>
      <c r="H140" s="4">
        <v>2</v>
      </c>
      <c r="I140" s="5">
        <v>46146</v>
      </c>
      <c r="J140" s="5">
        <v>46150</v>
      </c>
      <c r="K140" s="6" t="s">
        <v>15</v>
      </c>
      <c r="L140" s="28">
        <f>F140*G140*(1-H140/100)</f>
        <v>124400.22</v>
      </c>
    </row>
    <row r="141" spans="1:12" ht="15.6" x14ac:dyDescent="0.3">
      <c r="A141" s="3">
        <v>1388</v>
      </c>
      <c r="B141" s="4" t="s">
        <v>55</v>
      </c>
      <c r="C141" s="4" t="s">
        <v>31</v>
      </c>
      <c r="D141" s="4" t="s">
        <v>18</v>
      </c>
      <c r="E141" s="4" t="s">
        <v>28</v>
      </c>
      <c r="F141" s="4">
        <v>12</v>
      </c>
      <c r="G141" s="4">
        <v>11662</v>
      </c>
      <c r="H141" s="4">
        <v>12</v>
      </c>
      <c r="I141" s="5">
        <v>46094</v>
      </c>
      <c r="J141" s="5">
        <v>46096</v>
      </c>
      <c r="K141" s="6" t="s">
        <v>20</v>
      </c>
      <c r="L141" s="28">
        <f>F141*G141*(1-H141/100)</f>
        <v>123150.72</v>
      </c>
    </row>
    <row r="142" spans="1:12" ht="15.6" x14ac:dyDescent="0.3">
      <c r="A142" s="3">
        <v>1250</v>
      </c>
      <c r="B142" s="4" t="s">
        <v>11</v>
      </c>
      <c r="C142" s="4" t="s">
        <v>17</v>
      </c>
      <c r="D142" s="4" t="s">
        <v>34</v>
      </c>
      <c r="E142" s="4" t="s">
        <v>45</v>
      </c>
      <c r="F142" s="4">
        <v>2</v>
      </c>
      <c r="G142" s="4">
        <v>65953</v>
      </c>
      <c r="H142" s="4">
        <v>7</v>
      </c>
      <c r="I142" s="5">
        <v>46051</v>
      </c>
      <c r="J142" s="5">
        <v>46053</v>
      </c>
      <c r="K142" s="6" t="s">
        <v>29</v>
      </c>
      <c r="L142" s="28">
        <f>F142*G142*(1-H142/100)</f>
        <v>122672.57999999999</v>
      </c>
    </row>
    <row r="143" spans="1:12" ht="15.6" x14ac:dyDescent="0.3">
      <c r="A143" s="3">
        <v>1307</v>
      </c>
      <c r="B143" s="4" t="s">
        <v>57</v>
      </c>
      <c r="C143" s="4" t="s">
        <v>43</v>
      </c>
      <c r="D143" s="4" t="s">
        <v>34</v>
      </c>
      <c r="E143" s="4" t="s">
        <v>35</v>
      </c>
      <c r="F143" s="4">
        <v>18</v>
      </c>
      <c r="G143" s="4">
        <v>7541</v>
      </c>
      <c r="H143" s="4">
        <v>12</v>
      </c>
      <c r="I143" s="5">
        <v>46048</v>
      </c>
      <c r="J143" s="5">
        <v>46051</v>
      </c>
      <c r="K143" s="6" t="s">
        <v>51</v>
      </c>
      <c r="L143" s="28">
        <f>F143*G143*(1-H143/100)</f>
        <v>119449.44</v>
      </c>
    </row>
    <row r="144" spans="1:12" ht="15.6" x14ac:dyDescent="0.3">
      <c r="A144" s="3">
        <v>1231</v>
      </c>
      <c r="B144" s="4" t="s">
        <v>48</v>
      </c>
      <c r="C144" s="4" t="s">
        <v>38</v>
      </c>
      <c r="D144" s="4" t="s">
        <v>18</v>
      </c>
      <c r="E144" s="4" t="s">
        <v>19</v>
      </c>
      <c r="F144" s="4">
        <v>13</v>
      </c>
      <c r="G144" s="4">
        <v>10297</v>
      </c>
      <c r="H144" s="4">
        <v>12</v>
      </c>
      <c r="I144" s="5">
        <v>46178</v>
      </c>
      <c r="J144" s="5">
        <v>46186</v>
      </c>
      <c r="K144" s="6" t="s">
        <v>20</v>
      </c>
      <c r="L144" s="28">
        <f>F144*G144*(1-H144/100)</f>
        <v>117797.68000000001</v>
      </c>
    </row>
    <row r="145" spans="1:12" ht="15.6" x14ac:dyDescent="0.3">
      <c r="A145" s="3">
        <v>1203</v>
      </c>
      <c r="B145" s="4" t="s">
        <v>40</v>
      </c>
      <c r="C145" s="4" t="s">
        <v>22</v>
      </c>
      <c r="D145" s="4" t="s">
        <v>18</v>
      </c>
      <c r="E145" s="4" t="s">
        <v>23</v>
      </c>
      <c r="F145" s="4">
        <v>17</v>
      </c>
      <c r="G145" s="4">
        <v>6695</v>
      </c>
      <c r="H145" s="4">
        <v>2</v>
      </c>
      <c r="I145" s="5">
        <v>46119</v>
      </c>
      <c r="J145" s="5">
        <v>46122</v>
      </c>
      <c r="K145" s="6" t="s">
        <v>51</v>
      </c>
      <c r="L145" s="28">
        <f>F145*G145*(1-H145/100)</f>
        <v>111538.7</v>
      </c>
    </row>
    <row r="146" spans="1:12" ht="15.6" x14ac:dyDescent="0.3">
      <c r="A146" s="3">
        <v>1109</v>
      </c>
      <c r="B146" s="4" t="s">
        <v>21</v>
      </c>
      <c r="C146" s="4" t="s">
        <v>31</v>
      </c>
      <c r="D146" s="4" t="s">
        <v>18</v>
      </c>
      <c r="E146" s="4" t="s">
        <v>44</v>
      </c>
      <c r="F146" s="4">
        <v>19</v>
      </c>
      <c r="G146" s="4">
        <v>6512</v>
      </c>
      <c r="H146" s="4">
        <v>10</v>
      </c>
      <c r="I146" s="5">
        <v>46033</v>
      </c>
      <c r="J146" s="5">
        <v>46037</v>
      </c>
      <c r="K146" s="6" t="s">
        <v>20</v>
      </c>
      <c r="L146" s="28">
        <f>F146*G146*(1-H146/100)</f>
        <v>111355.2</v>
      </c>
    </row>
    <row r="147" spans="1:12" ht="15.6" x14ac:dyDescent="0.3">
      <c r="A147" s="3">
        <v>1104</v>
      </c>
      <c r="B147" s="4" t="s">
        <v>16</v>
      </c>
      <c r="C147" s="4" t="s">
        <v>43</v>
      </c>
      <c r="D147" s="4" t="s">
        <v>18</v>
      </c>
      <c r="E147" s="4" t="s">
        <v>19</v>
      </c>
      <c r="F147" s="4">
        <v>10</v>
      </c>
      <c r="G147" s="4">
        <v>12848</v>
      </c>
      <c r="H147" s="4">
        <v>15</v>
      </c>
      <c r="I147" s="5">
        <v>46060</v>
      </c>
      <c r="J147" s="5">
        <v>46064</v>
      </c>
      <c r="K147" s="6" t="s">
        <v>29</v>
      </c>
      <c r="L147" s="28">
        <f>F147*G147*(1-H147/100)</f>
        <v>109208</v>
      </c>
    </row>
    <row r="148" spans="1:12" ht="15.6" x14ac:dyDescent="0.3">
      <c r="A148" s="3">
        <v>1322</v>
      </c>
      <c r="B148" s="4" t="s">
        <v>27</v>
      </c>
      <c r="C148" s="4" t="s">
        <v>12</v>
      </c>
      <c r="D148" s="4" t="s">
        <v>18</v>
      </c>
      <c r="E148" s="4" t="s">
        <v>23</v>
      </c>
      <c r="F148" s="4">
        <v>14</v>
      </c>
      <c r="G148" s="4">
        <v>9081</v>
      </c>
      <c r="H148" s="4">
        <v>15</v>
      </c>
      <c r="I148" s="5">
        <v>46141</v>
      </c>
      <c r="J148" s="5">
        <v>46146</v>
      </c>
      <c r="K148" s="6" t="s">
        <v>15</v>
      </c>
      <c r="L148" s="28">
        <f>F148*G148*(1-H148/100)</f>
        <v>108063.9</v>
      </c>
    </row>
    <row r="149" spans="1:12" ht="15.6" x14ac:dyDescent="0.3">
      <c r="A149" s="3">
        <v>1369</v>
      </c>
      <c r="B149" s="4" t="s">
        <v>57</v>
      </c>
      <c r="C149" s="4" t="s">
        <v>25</v>
      </c>
      <c r="D149" s="4" t="s">
        <v>18</v>
      </c>
      <c r="E149" s="4" t="s">
        <v>19</v>
      </c>
      <c r="F149" s="4">
        <v>19</v>
      </c>
      <c r="G149" s="4">
        <v>5840</v>
      </c>
      <c r="H149" s="4">
        <v>5</v>
      </c>
      <c r="I149" s="5">
        <v>46062</v>
      </c>
      <c r="J149" s="5">
        <v>46067</v>
      </c>
      <c r="K149" s="6" t="s">
        <v>15</v>
      </c>
      <c r="L149" s="28">
        <f>F149*G149*(1-H149/100)</f>
        <v>105412</v>
      </c>
    </row>
    <row r="150" spans="1:12" ht="15.6" x14ac:dyDescent="0.3">
      <c r="A150" s="3">
        <v>1341</v>
      </c>
      <c r="B150" s="4" t="s">
        <v>57</v>
      </c>
      <c r="C150" s="4" t="s">
        <v>38</v>
      </c>
      <c r="D150" s="4" t="s">
        <v>18</v>
      </c>
      <c r="E150" s="4" t="s">
        <v>19</v>
      </c>
      <c r="F150" s="4">
        <v>19</v>
      </c>
      <c r="G150" s="4">
        <v>6488</v>
      </c>
      <c r="H150" s="4">
        <v>15</v>
      </c>
      <c r="I150" s="5">
        <v>46026</v>
      </c>
      <c r="J150" s="5">
        <v>46030</v>
      </c>
      <c r="K150" s="6" t="s">
        <v>20</v>
      </c>
      <c r="L150" s="28">
        <f>F150*G150*(1-H150/100)</f>
        <v>104781.2</v>
      </c>
    </row>
    <row r="151" spans="1:12" ht="15.6" x14ac:dyDescent="0.3">
      <c r="A151" s="3">
        <v>1294</v>
      </c>
      <c r="B151" s="4" t="s">
        <v>21</v>
      </c>
      <c r="C151" s="4" t="s">
        <v>12</v>
      </c>
      <c r="D151" s="4" t="s">
        <v>18</v>
      </c>
      <c r="E151" s="4" t="s">
        <v>19</v>
      </c>
      <c r="F151" s="4">
        <v>8</v>
      </c>
      <c r="G151" s="4">
        <v>14448</v>
      </c>
      <c r="H151" s="4">
        <v>10</v>
      </c>
      <c r="I151" s="5">
        <v>46181</v>
      </c>
      <c r="J151" s="5">
        <v>46189</v>
      </c>
      <c r="K151" s="6" t="s">
        <v>15</v>
      </c>
      <c r="L151" s="28">
        <f>F151*G151*(1-H151/100)</f>
        <v>104025.60000000001</v>
      </c>
    </row>
    <row r="152" spans="1:12" ht="15.6" x14ac:dyDescent="0.3">
      <c r="A152" s="3">
        <v>1152</v>
      </c>
      <c r="B152" s="4" t="s">
        <v>27</v>
      </c>
      <c r="C152" s="4" t="s">
        <v>31</v>
      </c>
      <c r="D152" s="4" t="s">
        <v>34</v>
      </c>
      <c r="E152" s="4" t="s">
        <v>61</v>
      </c>
      <c r="F152" s="4">
        <v>14</v>
      </c>
      <c r="G152" s="4">
        <v>8150</v>
      </c>
      <c r="H152" s="4">
        <v>10</v>
      </c>
      <c r="I152" s="5">
        <v>46062</v>
      </c>
      <c r="J152" s="5">
        <v>46070</v>
      </c>
      <c r="K152" s="6" t="s">
        <v>15</v>
      </c>
      <c r="L152" s="28">
        <f>F152*G152*(1-H152/100)</f>
        <v>102690</v>
      </c>
    </row>
    <row r="153" spans="1:12" ht="15.6" x14ac:dyDescent="0.3">
      <c r="A153" s="3">
        <v>1249</v>
      </c>
      <c r="B153" s="4" t="s">
        <v>16</v>
      </c>
      <c r="C153" s="4" t="s">
        <v>25</v>
      </c>
      <c r="D153" s="4" t="s">
        <v>34</v>
      </c>
      <c r="E153" s="4" t="s">
        <v>41</v>
      </c>
      <c r="F153" s="4">
        <v>18</v>
      </c>
      <c r="G153" s="4">
        <v>6360</v>
      </c>
      <c r="H153" s="4">
        <v>12</v>
      </c>
      <c r="I153" s="5">
        <v>46163</v>
      </c>
      <c r="J153" s="5">
        <v>46165</v>
      </c>
      <c r="K153" s="6" t="s">
        <v>20</v>
      </c>
      <c r="L153" s="28">
        <f>F153*G153*(1-H153/100)</f>
        <v>100742.39999999999</v>
      </c>
    </row>
    <row r="154" spans="1:12" ht="15.6" x14ac:dyDescent="0.3">
      <c r="A154" s="3">
        <v>1177</v>
      </c>
      <c r="B154" s="4" t="s">
        <v>29</v>
      </c>
      <c r="C154" s="4" t="s">
        <v>22</v>
      </c>
      <c r="D154" s="4" t="s">
        <v>18</v>
      </c>
      <c r="E154" s="4" t="s">
        <v>19</v>
      </c>
      <c r="F154" s="4">
        <v>14</v>
      </c>
      <c r="G154" s="4">
        <v>7501</v>
      </c>
      <c r="H154" s="4">
        <v>7</v>
      </c>
      <c r="I154" s="5">
        <v>46169</v>
      </c>
      <c r="J154" s="5">
        <v>46179</v>
      </c>
      <c r="K154" s="6" t="s">
        <v>20</v>
      </c>
      <c r="L154" s="28">
        <f>F154*G154*(1-H154/100)</f>
        <v>97663.01999999999</v>
      </c>
    </row>
    <row r="155" spans="1:12" ht="15.6" x14ac:dyDescent="0.3">
      <c r="A155" s="3">
        <v>1047</v>
      </c>
      <c r="B155" s="4" t="s">
        <v>58</v>
      </c>
      <c r="C155" s="4" t="s">
        <v>38</v>
      </c>
      <c r="D155" s="4" t="s">
        <v>18</v>
      </c>
      <c r="E155" s="4" t="s">
        <v>56</v>
      </c>
      <c r="F155" s="4">
        <v>11</v>
      </c>
      <c r="G155" s="4">
        <v>9976</v>
      </c>
      <c r="H155" s="4">
        <v>12</v>
      </c>
      <c r="I155" s="5">
        <v>46200</v>
      </c>
      <c r="J155" s="5">
        <v>46209</v>
      </c>
      <c r="K155" s="6" t="s">
        <v>15</v>
      </c>
      <c r="L155" s="28">
        <f>F155*G155*(1-H155/100)</f>
        <v>96567.680000000008</v>
      </c>
    </row>
    <row r="156" spans="1:12" ht="15.6" x14ac:dyDescent="0.3">
      <c r="A156" s="3">
        <v>1237</v>
      </c>
      <c r="B156" s="4" t="s">
        <v>46</v>
      </c>
      <c r="C156" s="4" t="s">
        <v>38</v>
      </c>
      <c r="D156" s="4" t="s">
        <v>18</v>
      </c>
      <c r="E156" s="4" t="s">
        <v>56</v>
      </c>
      <c r="F156" s="4">
        <v>8</v>
      </c>
      <c r="G156" s="4">
        <v>12123</v>
      </c>
      <c r="H156" s="4">
        <v>2</v>
      </c>
      <c r="I156" s="5">
        <v>46137</v>
      </c>
      <c r="J156" s="5">
        <v>46145</v>
      </c>
      <c r="K156" s="6" t="s">
        <v>15</v>
      </c>
      <c r="L156" s="28">
        <f>F156*G156*(1-H156/100)</f>
        <v>95044.319999999992</v>
      </c>
    </row>
    <row r="157" spans="1:12" ht="15.6" x14ac:dyDescent="0.3">
      <c r="A157" s="3">
        <v>1346</v>
      </c>
      <c r="B157" s="4" t="s">
        <v>32</v>
      </c>
      <c r="C157" s="4" t="s">
        <v>22</v>
      </c>
      <c r="D157" s="4" t="s">
        <v>18</v>
      </c>
      <c r="E157" s="4" t="s">
        <v>19</v>
      </c>
      <c r="F157" s="4">
        <v>16</v>
      </c>
      <c r="G157" s="4">
        <v>6910</v>
      </c>
      <c r="H157" s="4">
        <v>15</v>
      </c>
      <c r="I157" s="5">
        <v>46140</v>
      </c>
      <c r="J157" s="5">
        <v>46142</v>
      </c>
      <c r="K157" s="6" t="s">
        <v>29</v>
      </c>
      <c r="L157" s="28">
        <f>F157*G157*(1-H157/100)</f>
        <v>93976</v>
      </c>
    </row>
    <row r="158" spans="1:12" ht="15.6" x14ac:dyDescent="0.3">
      <c r="A158" s="3">
        <v>1154</v>
      </c>
      <c r="B158" s="4" t="s">
        <v>32</v>
      </c>
      <c r="C158" s="4" t="s">
        <v>17</v>
      </c>
      <c r="D158" s="4" t="s">
        <v>18</v>
      </c>
      <c r="E158" s="4" t="s">
        <v>56</v>
      </c>
      <c r="F158" s="4">
        <v>15</v>
      </c>
      <c r="G158" s="4">
        <v>6101</v>
      </c>
      <c r="H158" s="4">
        <v>0</v>
      </c>
      <c r="I158" s="5">
        <v>46178</v>
      </c>
      <c r="J158" s="5">
        <v>46183</v>
      </c>
      <c r="K158" s="6" t="s">
        <v>51</v>
      </c>
      <c r="L158" s="28">
        <f>F158*G158*(1-H158/100)</f>
        <v>91515</v>
      </c>
    </row>
    <row r="159" spans="1:12" ht="15.6" x14ac:dyDescent="0.3">
      <c r="A159" s="3">
        <v>1189</v>
      </c>
      <c r="B159" s="4" t="s">
        <v>49</v>
      </c>
      <c r="C159" s="4" t="s">
        <v>31</v>
      </c>
      <c r="D159" s="4" t="s">
        <v>18</v>
      </c>
      <c r="E159" s="4" t="s">
        <v>56</v>
      </c>
      <c r="F159" s="4">
        <v>12</v>
      </c>
      <c r="G159" s="4">
        <v>8327</v>
      </c>
      <c r="H159" s="4">
        <v>10</v>
      </c>
      <c r="I159" s="5">
        <v>46184</v>
      </c>
      <c r="J159" s="5">
        <v>46185</v>
      </c>
      <c r="K159" s="6" t="s">
        <v>29</v>
      </c>
      <c r="L159" s="28">
        <f>F159*G159*(1-H159/100)</f>
        <v>89931.6</v>
      </c>
    </row>
    <row r="160" spans="1:12" ht="15.6" x14ac:dyDescent="0.3">
      <c r="A160" s="3">
        <v>1110</v>
      </c>
      <c r="B160" s="4" t="s">
        <v>49</v>
      </c>
      <c r="C160" s="4" t="s">
        <v>38</v>
      </c>
      <c r="D160" s="4" t="s">
        <v>18</v>
      </c>
      <c r="E160" s="4" t="s">
        <v>23</v>
      </c>
      <c r="F160" s="4">
        <v>14</v>
      </c>
      <c r="G160" s="4">
        <v>6793</v>
      </c>
      <c r="H160" s="4">
        <v>7</v>
      </c>
      <c r="I160" s="5">
        <v>46077</v>
      </c>
      <c r="J160" s="5">
        <v>46082</v>
      </c>
      <c r="K160" s="6" t="s">
        <v>29</v>
      </c>
      <c r="L160" s="28">
        <f>F160*G160*(1-H160/100)</f>
        <v>88444.86</v>
      </c>
    </row>
    <row r="161" spans="1:12" ht="15.6" x14ac:dyDescent="0.3">
      <c r="A161" s="3">
        <v>1264</v>
      </c>
      <c r="B161" s="4" t="s">
        <v>11</v>
      </c>
      <c r="C161" s="4" t="s">
        <v>22</v>
      </c>
      <c r="D161" s="4" t="s">
        <v>18</v>
      </c>
      <c r="E161" s="4" t="s">
        <v>28</v>
      </c>
      <c r="F161" s="4">
        <v>15</v>
      </c>
      <c r="G161" s="4">
        <v>6365</v>
      </c>
      <c r="H161" s="4">
        <v>10</v>
      </c>
      <c r="I161" s="5">
        <v>46200</v>
      </c>
      <c r="J161" s="5">
        <v>46206</v>
      </c>
      <c r="K161" s="6" t="s">
        <v>20</v>
      </c>
      <c r="L161" s="28">
        <f>F161*G161*(1-H161/100)</f>
        <v>85927.5</v>
      </c>
    </row>
    <row r="162" spans="1:12" ht="15.6" x14ac:dyDescent="0.3">
      <c r="A162" s="3">
        <v>1060</v>
      </c>
      <c r="B162" s="4" t="s">
        <v>49</v>
      </c>
      <c r="C162" s="4" t="s">
        <v>12</v>
      </c>
      <c r="D162" s="4" t="s">
        <v>18</v>
      </c>
      <c r="E162" s="4" t="s">
        <v>44</v>
      </c>
      <c r="F162" s="4">
        <v>9</v>
      </c>
      <c r="G162" s="4">
        <v>9727</v>
      </c>
      <c r="H162" s="4">
        <v>2</v>
      </c>
      <c r="I162" s="5">
        <v>46024</v>
      </c>
      <c r="J162" s="5">
        <v>46030</v>
      </c>
      <c r="K162" s="6" t="s">
        <v>20</v>
      </c>
      <c r="L162" s="28">
        <f>F162*G162*(1-H162/100)</f>
        <v>85792.14</v>
      </c>
    </row>
    <row r="163" spans="1:12" ht="15.6" x14ac:dyDescent="0.3">
      <c r="A163" s="3">
        <v>1331</v>
      </c>
      <c r="B163" s="4" t="s">
        <v>21</v>
      </c>
      <c r="C163" s="4" t="s">
        <v>25</v>
      </c>
      <c r="D163" s="4" t="s">
        <v>34</v>
      </c>
      <c r="E163" s="4" t="s">
        <v>61</v>
      </c>
      <c r="F163" s="4">
        <v>2</v>
      </c>
      <c r="G163" s="4">
        <v>43557</v>
      </c>
      <c r="H163" s="4">
        <v>2</v>
      </c>
      <c r="I163" s="5">
        <v>46190</v>
      </c>
      <c r="J163" s="5">
        <v>46200</v>
      </c>
      <c r="K163" s="6" t="s">
        <v>15</v>
      </c>
      <c r="L163" s="28">
        <f>F163*G163*(1-H163/100)</f>
        <v>85371.72</v>
      </c>
    </row>
    <row r="164" spans="1:12" ht="15.6" x14ac:dyDescent="0.3">
      <c r="A164" s="3">
        <v>1347</v>
      </c>
      <c r="B164" s="4" t="s">
        <v>29</v>
      </c>
      <c r="C164" s="4" t="s">
        <v>22</v>
      </c>
      <c r="D164" s="4" t="s">
        <v>34</v>
      </c>
      <c r="E164" s="4" t="s">
        <v>35</v>
      </c>
      <c r="F164" s="4">
        <v>16</v>
      </c>
      <c r="G164" s="4">
        <v>6034</v>
      </c>
      <c r="H164" s="4">
        <v>15</v>
      </c>
      <c r="I164" s="5">
        <v>46037</v>
      </c>
      <c r="J164" s="5">
        <v>46044</v>
      </c>
      <c r="K164" s="6" t="s">
        <v>24</v>
      </c>
      <c r="L164" s="28">
        <f>F164*G164*(1-H164/100)</f>
        <v>82062.399999999994</v>
      </c>
    </row>
    <row r="165" spans="1:12" ht="15.6" x14ac:dyDescent="0.3">
      <c r="A165" s="3">
        <v>1049</v>
      </c>
      <c r="B165" s="4" t="s">
        <v>52</v>
      </c>
      <c r="C165" s="4" t="s">
        <v>25</v>
      </c>
      <c r="D165" s="4" t="s">
        <v>34</v>
      </c>
      <c r="E165" s="4" t="s">
        <v>45</v>
      </c>
      <c r="F165" s="4">
        <v>2</v>
      </c>
      <c r="G165" s="4">
        <v>40789</v>
      </c>
      <c r="H165" s="4">
        <v>0</v>
      </c>
      <c r="I165" s="5">
        <v>46102</v>
      </c>
      <c r="J165" s="5">
        <v>46108</v>
      </c>
      <c r="K165" s="6" t="s">
        <v>24</v>
      </c>
      <c r="L165" s="28">
        <f>F165*G165*(1-H165/100)</f>
        <v>81578</v>
      </c>
    </row>
    <row r="166" spans="1:12" ht="15.6" x14ac:dyDescent="0.3">
      <c r="A166" s="3">
        <v>1103</v>
      </c>
      <c r="B166" s="4" t="s">
        <v>16</v>
      </c>
      <c r="C166" s="4" t="s">
        <v>12</v>
      </c>
      <c r="D166" s="4" t="s">
        <v>18</v>
      </c>
      <c r="E166" s="4" t="s">
        <v>23</v>
      </c>
      <c r="F166" s="4">
        <v>7</v>
      </c>
      <c r="G166" s="4">
        <v>11925</v>
      </c>
      <c r="H166" s="4">
        <v>5</v>
      </c>
      <c r="I166" s="5">
        <v>46040</v>
      </c>
      <c r="J166" s="5">
        <v>46041</v>
      </c>
      <c r="K166" s="6" t="s">
        <v>29</v>
      </c>
      <c r="L166" s="28">
        <f>F166*G166*(1-H166/100)</f>
        <v>79301.25</v>
      </c>
    </row>
    <row r="167" spans="1:12" ht="15.6" x14ac:dyDescent="0.3">
      <c r="A167" s="3">
        <v>1269</v>
      </c>
      <c r="B167" s="4" t="s">
        <v>52</v>
      </c>
      <c r="C167" s="4" t="s">
        <v>43</v>
      </c>
      <c r="D167" s="4" t="s">
        <v>18</v>
      </c>
      <c r="E167" s="4" t="s">
        <v>19</v>
      </c>
      <c r="F167" s="4">
        <v>14</v>
      </c>
      <c r="G167" s="4">
        <v>5704</v>
      </c>
      <c r="H167" s="4">
        <v>2</v>
      </c>
      <c r="I167" s="5">
        <v>46129</v>
      </c>
      <c r="J167" s="5">
        <v>46131</v>
      </c>
      <c r="K167" s="6" t="s">
        <v>15</v>
      </c>
      <c r="L167" s="28">
        <f>F167*G167*(1-H167/100)</f>
        <v>78258.880000000005</v>
      </c>
    </row>
    <row r="168" spans="1:12" ht="15.6" x14ac:dyDescent="0.3">
      <c r="A168" s="3">
        <v>1372</v>
      </c>
      <c r="B168" s="4" t="s">
        <v>48</v>
      </c>
      <c r="C168" s="4" t="s">
        <v>17</v>
      </c>
      <c r="D168" s="4" t="s">
        <v>34</v>
      </c>
      <c r="E168" s="4" t="s">
        <v>39</v>
      </c>
      <c r="F168" s="4">
        <v>9</v>
      </c>
      <c r="G168" s="4">
        <v>9551</v>
      </c>
      <c r="H168" s="4">
        <v>10</v>
      </c>
      <c r="I168" s="5">
        <v>46161</v>
      </c>
      <c r="J168" s="5">
        <v>46168</v>
      </c>
      <c r="K168" s="6" t="s">
        <v>15</v>
      </c>
      <c r="L168" s="28">
        <f>F168*G168*(1-H168/100)</f>
        <v>77363.100000000006</v>
      </c>
    </row>
    <row r="169" spans="1:12" ht="15.6" x14ac:dyDescent="0.3">
      <c r="A169" s="3">
        <v>1278</v>
      </c>
      <c r="B169" s="4" t="s">
        <v>47</v>
      </c>
      <c r="C169" s="4" t="s">
        <v>22</v>
      </c>
      <c r="D169" s="4" t="s">
        <v>34</v>
      </c>
      <c r="E169" s="4" t="s">
        <v>61</v>
      </c>
      <c r="F169" s="4">
        <v>4</v>
      </c>
      <c r="G169" s="4">
        <v>20639</v>
      </c>
      <c r="H169" s="4">
        <v>7</v>
      </c>
      <c r="I169" s="5">
        <v>46180</v>
      </c>
      <c r="J169" s="5">
        <v>46186</v>
      </c>
      <c r="K169" s="6" t="s">
        <v>20</v>
      </c>
      <c r="L169" s="28">
        <f>F169*G169*(1-H169/100)</f>
        <v>76777.08</v>
      </c>
    </row>
    <row r="170" spans="1:12" ht="15.6" x14ac:dyDescent="0.3">
      <c r="A170" s="3">
        <v>1034</v>
      </c>
      <c r="B170" s="4" t="s">
        <v>55</v>
      </c>
      <c r="C170" s="4" t="s">
        <v>33</v>
      </c>
      <c r="D170" s="4" t="s">
        <v>18</v>
      </c>
      <c r="E170" s="4" t="s">
        <v>28</v>
      </c>
      <c r="F170" s="4">
        <v>17</v>
      </c>
      <c r="G170" s="4">
        <v>5104</v>
      </c>
      <c r="H170" s="4">
        <v>12</v>
      </c>
      <c r="I170" s="5">
        <v>46052</v>
      </c>
      <c r="J170" s="5">
        <v>46061</v>
      </c>
      <c r="K170" s="6" t="s">
        <v>51</v>
      </c>
      <c r="L170" s="28">
        <f>F170*G170*(1-H170/100)</f>
        <v>76355.839999999997</v>
      </c>
    </row>
    <row r="171" spans="1:12" ht="15.6" x14ac:dyDescent="0.3">
      <c r="A171" s="3">
        <v>1037</v>
      </c>
      <c r="B171" s="4" t="s">
        <v>46</v>
      </c>
      <c r="C171" s="4" t="s">
        <v>43</v>
      </c>
      <c r="D171" s="4" t="s">
        <v>18</v>
      </c>
      <c r="E171" s="4" t="s">
        <v>56</v>
      </c>
      <c r="F171" s="4">
        <v>6</v>
      </c>
      <c r="G171" s="4">
        <v>14385</v>
      </c>
      <c r="H171" s="4">
        <v>12</v>
      </c>
      <c r="I171" s="5">
        <v>46033</v>
      </c>
      <c r="J171" s="5">
        <v>46043</v>
      </c>
      <c r="K171" s="6" t="s">
        <v>24</v>
      </c>
      <c r="L171" s="28">
        <f>F171*G171*(1-H171/100)</f>
        <v>75952.800000000003</v>
      </c>
    </row>
    <row r="172" spans="1:12" ht="15.6" x14ac:dyDescent="0.3">
      <c r="A172" s="3">
        <v>1113</v>
      </c>
      <c r="B172" s="4" t="s">
        <v>26</v>
      </c>
      <c r="C172" s="4" t="s">
        <v>43</v>
      </c>
      <c r="D172" s="4" t="s">
        <v>18</v>
      </c>
      <c r="E172" s="4" t="s">
        <v>56</v>
      </c>
      <c r="F172" s="4">
        <v>13</v>
      </c>
      <c r="G172" s="4">
        <v>6719</v>
      </c>
      <c r="H172" s="4">
        <v>15</v>
      </c>
      <c r="I172" s="5">
        <v>46076</v>
      </c>
      <c r="J172" s="5">
        <v>46081</v>
      </c>
      <c r="K172" s="6" t="s">
        <v>24</v>
      </c>
      <c r="L172" s="28">
        <f>F172*G172*(1-H172/100)</f>
        <v>74244.95</v>
      </c>
    </row>
    <row r="173" spans="1:12" ht="15.6" x14ac:dyDescent="0.3">
      <c r="A173" s="3">
        <v>1040</v>
      </c>
      <c r="B173" s="4" t="s">
        <v>49</v>
      </c>
      <c r="C173" s="4" t="s">
        <v>38</v>
      </c>
      <c r="D173" s="4" t="s">
        <v>18</v>
      </c>
      <c r="E173" s="4" t="s">
        <v>28</v>
      </c>
      <c r="F173" s="4">
        <v>10</v>
      </c>
      <c r="G173" s="4">
        <v>7531</v>
      </c>
      <c r="H173" s="4">
        <v>2</v>
      </c>
      <c r="I173" s="5">
        <v>46171</v>
      </c>
      <c r="J173" s="5">
        <v>46178</v>
      </c>
      <c r="K173" s="6" t="s">
        <v>24</v>
      </c>
      <c r="L173" s="28">
        <f>F173*G173*(1-H173/100)</f>
        <v>73803.8</v>
      </c>
    </row>
    <row r="174" spans="1:12" ht="15.6" x14ac:dyDescent="0.3">
      <c r="A174" s="3">
        <v>1229</v>
      </c>
      <c r="B174" s="4" t="s">
        <v>57</v>
      </c>
      <c r="C174" s="4" t="s">
        <v>12</v>
      </c>
      <c r="D174" s="4" t="s">
        <v>18</v>
      </c>
      <c r="E174" s="4" t="s">
        <v>56</v>
      </c>
      <c r="F174" s="4">
        <v>14</v>
      </c>
      <c r="G174" s="4">
        <v>5859</v>
      </c>
      <c r="H174" s="4">
        <v>12</v>
      </c>
      <c r="I174" s="5">
        <v>46027</v>
      </c>
      <c r="J174" s="5">
        <v>46036</v>
      </c>
      <c r="K174" s="6" t="s">
        <v>20</v>
      </c>
      <c r="L174" s="28">
        <f>F174*G174*(1-H174/100)</f>
        <v>72182.880000000005</v>
      </c>
    </row>
    <row r="175" spans="1:12" ht="15.6" x14ac:dyDescent="0.3">
      <c r="A175" s="3">
        <v>1138</v>
      </c>
      <c r="B175" s="4" t="s">
        <v>55</v>
      </c>
      <c r="C175" s="4" t="s">
        <v>43</v>
      </c>
      <c r="D175" s="4" t="s">
        <v>18</v>
      </c>
      <c r="E175" s="4" t="s">
        <v>19</v>
      </c>
      <c r="F175" s="4">
        <v>5</v>
      </c>
      <c r="G175" s="4">
        <v>14466</v>
      </c>
      <c r="H175" s="4">
        <v>2</v>
      </c>
      <c r="I175" s="5">
        <v>46084</v>
      </c>
      <c r="J175" s="5">
        <v>46092</v>
      </c>
      <c r="K175" s="6" t="s">
        <v>51</v>
      </c>
      <c r="L175" s="28">
        <f>F175*G175*(1-H175/100)</f>
        <v>70883.399999999994</v>
      </c>
    </row>
    <row r="176" spans="1:12" ht="15.6" x14ac:dyDescent="0.3">
      <c r="A176" s="3">
        <v>1191</v>
      </c>
      <c r="B176" s="4" t="s">
        <v>52</v>
      </c>
      <c r="C176" s="4" t="s">
        <v>33</v>
      </c>
      <c r="D176" s="4" t="s">
        <v>18</v>
      </c>
      <c r="E176" s="4" t="s">
        <v>56</v>
      </c>
      <c r="F176" s="4">
        <v>9</v>
      </c>
      <c r="G176" s="4">
        <v>8631</v>
      </c>
      <c r="H176" s="4">
        <v>10</v>
      </c>
      <c r="I176" s="5">
        <v>46149</v>
      </c>
      <c r="J176" s="5">
        <v>46156</v>
      </c>
      <c r="K176" s="6" t="s">
        <v>20</v>
      </c>
      <c r="L176" s="28">
        <f>F176*G176*(1-H176/100)</f>
        <v>69911.100000000006</v>
      </c>
    </row>
    <row r="177" spans="1:12" ht="15.6" x14ac:dyDescent="0.3">
      <c r="A177" s="3">
        <v>1390</v>
      </c>
      <c r="B177" s="4" t="s">
        <v>58</v>
      </c>
      <c r="C177" s="4" t="s">
        <v>43</v>
      </c>
      <c r="D177" s="4" t="s">
        <v>18</v>
      </c>
      <c r="E177" s="4" t="s">
        <v>19</v>
      </c>
      <c r="F177" s="4">
        <v>9</v>
      </c>
      <c r="G177" s="4">
        <v>7670</v>
      </c>
      <c r="H177" s="4">
        <v>0</v>
      </c>
      <c r="I177" s="5">
        <v>46076</v>
      </c>
      <c r="J177" s="5">
        <v>46081</v>
      </c>
      <c r="K177" s="6" t="s">
        <v>51</v>
      </c>
      <c r="L177" s="28">
        <f>F177*G177*(1-H177/100)</f>
        <v>69030</v>
      </c>
    </row>
    <row r="178" spans="1:12" ht="15.6" x14ac:dyDescent="0.3">
      <c r="A178" s="3">
        <v>1054</v>
      </c>
      <c r="B178" s="4" t="s">
        <v>26</v>
      </c>
      <c r="C178" s="4" t="s">
        <v>25</v>
      </c>
      <c r="D178" s="4" t="s">
        <v>18</v>
      </c>
      <c r="E178" s="4" t="s">
        <v>23</v>
      </c>
      <c r="F178" s="4">
        <v>8</v>
      </c>
      <c r="G178" s="4">
        <v>9798</v>
      </c>
      <c r="H178" s="4">
        <v>12</v>
      </c>
      <c r="I178" s="5">
        <v>46200</v>
      </c>
      <c r="J178" s="5">
        <v>46201</v>
      </c>
      <c r="K178" s="6" t="s">
        <v>51</v>
      </c>
      <c r="L178" s="28">
        <f>F178*G178*(1-H178/100)</f>
        <v>68977.919999999998</v>
      </c>
    </row>
    <row r="179" spans="1:12" ht="15.6" x14ac:dyDescent="0.3">
      <c r="A179" s="3">
        <v>1299</v>
      </c>
      <c r="B179" s="4" t="s">
        <v>26</v>
      </c>
      <c r="C179" s="4" t="s">
        <v>17</v>
      </c>
      <c r="D179" s="4" t="s">
        <v>18</v>
      </c>
      <c r="E179" s="4" t="s">
        <v>56</v>
      </c>
      <c r="F179" s="4">
        <v>8</v>
      </c>
      <c r="G179" s="4">
        <v>8783</v>
      </c>
      <c r="H179" s="4">
        <v>2</v>
      </c>
      <c r="I179" s="5">
        <v>46123</v>
      </c>
      <c r="J179" s="5">
        <v>46132</v>
      </c>
      <c r="K179" s="6" t="s">
        <v>15</v>
      </c>
      <c r="L179" s="28">
        <f>F179*G179*(1-H179/100)</f>
        <v>68858.720000000001</v>
      </c>
    </row>
    <row r="180" spans="1:12" ht="15.6" x14ac:dyDescent="0.3">
      <c r="A180" s="3">
        <v>1293</v>
      </c>
      <c r="B180" s="4" t="s">
        <v>49</v>
      </c>
      <c r="C180" s="4" t="s">
        <v>43</v>
      </c>
      <c r="D180" s="4" t="s">
        <v>18</v>
      </c>
      <c r="E180" s="4" t="s">
        <v>23</v>
      </c>
      <c r="F180" s="4">
        <v>7</v>
      </c>
      <c r="G180" s="4">
        <v>11481</v>
      </c>
      <c r="H180" s="4">
        <v>15</v>
      </c>
      <c r="I180" s="5">
        <v>46045</v>
      </c>
      <c r="J180" s="5">
        <v>46050</v>
      </c>
      <c r="K180" s="6" t="s">
        <v>20</v>
      </c>
      <c r="L180" s="28">
        <f>F180*G180*(1-H180/100)</f>
        <v>68311.95</v>
      </c>
    </row>
    <row r="181" spans="1:12" ht="15.6" x14ac:dyDescent="0.3">
      <c r="A181" s="3">
        <v>1303</v>
      </c>
      <c r="B181" s="4" t="s">
        <v>57</v>
      </c>
      <c r="C181" s="4" t="s">
        <v>38</v>
      </c>
      <c r="D181" s="4" t="s">
        <v>34</v>
      </c>
      <c r="E181" s="4" t="s">
        <v>35</v>
      </c>
      <c r="F181" s="4">
        <v>13</v>
      </c>
      <c r="G181" s="4">
        <v>5170</v>
      </c>
      <c r="H181" s="4">
        <v>2</v>
      </c>
      <c r="I181" s="5">
        <v>46124</v>
      </c>
      <c r="J181" s="5">
        <v>46127</v>
      </c>
      <c r="K181" s="6" t="s">
        <v>15</v>
      </c>
      <c r="L181" s="28">
        <f>F181*G181*(1-H181/100)</f>
        <v>65865.8</v>
      </c>
    </row>
    <row r="182" spans="1:12" ht="15.6" x14ac:dyDescent="0.3">
      <c r="A182" s="3">
        <v>1062</v>
      </c>
      <c r="B182" s="4" t="s">
        <v>40</v>
      </c>
      <c r="C182" s="4" t="s">
        <v>43</v>
      </c>
      <c r="D182" s="4" t="s">
        <v>18</v>
      </c>
      <c r="E182" s="4" t="s">
        <v>23</v>
      </c>
      <c r="F182" s="4">
        <v>8</v>
      </c>
      <c r="G182" s="4">
        <v>8360</v>
      </c>
      <c r="H182" s="4">
        <v>2</v>
      </c>
      <c r="I182" s="5">
        <v>46190</v>
      </c>
      <c r="J182" s="5">
        <v>46200</v>
      </c>
      <c r="K182" s="6" t="s">
        <v>51</v>
      </c>
      <c r="L182" s="28">
        <f>F182*G182*(1-H182/100)</f>
        <v>65542.399999999994</v>
      </c>
    </row>
    <row r="183" spans="1:12" ht="15.6" x14ac:dyDescent="0.3">
      <c r="A183" s="3">
        <v>1302</v>
      </c>
      <c r="B183" s="4" t="s">
        <v>57</v>
      </c>
      <c r="C183" s="4" t="s">
        <v>12</v>
      </c>
      <c r="D183" s="4" t="s">
        <v>34</v>
      </c>
      <c r="E183" s="4" t="s">
        <v>35</v>
      </c>
      <c r="F183" s="4">
        <v>9</v>
      </c>
      <c r="G183" s="4">
        <v>8500</v>
      </c>
      <c r="H183" s="4">
        <v>15</v>
      </c>
      <c r="I183" s="5">
        <v>46163</v>
      </c>
      <c r="J183" s="5">
        <v>46172</v>
      </c>
      <c r="K183" s="6" t="s">
        <v>24</v>
      </c>
      <c r="L183" s="28">
        <f>F183*G183*(1-H183/100)</f>
        <v>65025</v>
      </c>
    </row>
    <row r="184" spans="1:12" ht="15.6" x14ac:dyDescent="0.3">
      <c r="A184" s="3">
        <v>1386</v>
      </c>
      <c r="B184" s="4" t="s">
        <v>27</v>
      </c>
      <c r="C184" s="4" t="s">
        <v>31</v>
      </c>
      <c r="D184" s="4" t="s">
        <v>18</v>
      </c>
      <c r="E184" s="4" t="s">
        <v>28</v>
      </c>
      <c r="F184" s="4">
        <v>9</v>
      </c>
      <c r="G184" s="4">
        <v>7509</v>
      </c>
      <c r="H184" s="4">
        <v>5</v>
      </c>
      <c r="I184" s="5">
        <v>46162</v>
      </c>
      <c r="J184" s="5">
        <v>46171</v>
      </c>
      <c r="K184" s="6" t="s">
        <v>51</v>
      </c>
      <c r="L184" s="28">
        <f>F184*G184*(1-H184/100)</f>
        <v>64201.95</v>
      </c>
    </row>
    <row r="185" spans="1:12" ht="15.6" x14ac:dyDescent="0.3">
      <c r="A185" s="3">
        <v>1312</v>
      </c>
      <c r="B185" s="4" t="s">
        <v>57</v>
      </c>
      <c r="C185" s="4" t="s">
        <v>22</v>
      </c>
      <c r="D185" s="4" t="s">
        <v>18</v>
      </c>
      <c r="E185" s="4" t="s">
        <v>56</v>
      </c>
      <c r="F185" s="4">
        <v>20</v>
      </c>
      <c r="G185" s="4">
        <v>3274</v>
      </c>
      <c r="H185" s="4">
        <v>2</v>
      </c>
      <c r="I185" s="5">
        <v>46148</v>
      </c>
      <c r="J185" s="5">
        <v>46156</v>
      </c>
      <c r="K185" s="6" t="s">
        <v>24</v>
      </c>
      <c r="L185" s="28">
        <f>F185*G185*(1-H185/100)</f>
        <v>64170.400000000001</v>
      </c>
    </row>
    <row r="186" spans="1:12" ht="15.6" x14ac:dyDescent="0.3">
      <c r="A186" s="3">
        <v>1316</v>
      </c>
      <c r="B186" s="4" t="s">
        <v>46</v>
      </c>
      <c r="C186" s="4" t="s">
        <v>12</v>
      </c>
      <c r="D186" s="4" t="s">
        <v>18</v>
      </c>
      <c r="E186" s="4" t="s">
        <v>28</v>
      </c>
      <c r="F186" s="4">
        <v>7</v>
      </c>
      <c r="G186" s="4">
        <v>9838</v>
      </c>
      <c r="H186" s="4">
        <v>7</v>
      </c>
      <c r="I186" s="5">
        <v>46078</v>
      </c>
      <c r="J186" s="5">
        <v>46085</v>
      </c>
      <c r="K186" s="6" t="s">
        <v>20</v>
      </c>
      <c r="L186" s="28">
        <f>F186*G186*(1-H186/100)</f>
        <v>64045.38</v>
      </c>
    </row>
    <row r="187" spans="1:12" ht="15.6" x14ac:dyDescent="0.3">
      <c r="A187" s="3">
        <v>1147</v>
      </c>
      <c r="B187" s="4" t="s">
        <v>11</v>
      </c>
      <c r="C187" s="4" t="s">
        <v>22</v>
      </c>
      <c r="D187" s="4" t="s">
        <v>18</v>
      </c>
      <c r="E187" s="4" t="s">
        <v>28</v>
      </c>
      <c r="F187" s="4">
        <v>7</v>
      </c>
      <c r="G187" s="4">
        <v>9581</v>
      </c>
      <c r="H187" s="4">
        <v>5</v>
      </c>
      <c r="I187" s="5">
        <v>46154</v>
      </c>
      <c r="J187" s="5">
        <v>46155</v>
      </c>
      <c r="K187" s="6" t="s">
        <v>20</v>
      </c>
      <c r="L187" s="28">
        <f>F187*G187*(1-H187/100)</f>
        <v>63713.649999999994</v>
      </c>
    </row>
    <row r="188" spans="1:12" ht="15.6" x14ac:dyDescent="0.3">
      <c r="A188" s="3">
        <v>1314</v>
      </c>
      <c r="B188" s="4" t="s">
        <v>52</v>
      </c>
      <c r="C188" s="4" t="s">
        <v>33</v>
      </c>
      <c r="D188" s="4" t="s">
        <v>18</v>
      </c>
      <c r="E188" s="4" t="s">
        <v>19</v>
      </c>
      <c r="F188" s="4">
        <v>10</v>
      </c>
      <c r="G188" s="4">
        <v>6328</v>
      </c>
      <c r="H188" s="4">
        <v>2</v>
      </c>
      <c r="I188" s="5">
        <v>46196</v>
      </c>
      <c r="J188" s="5">
        <v>46197</v>
      </c>
      <c r="K188" s="6" t="s">
        <v>29</v>
      </c>
      <c r="L188" s="28">
        <f>F188*G188*(1-H188/100)</f>
        <v>62014.400000000001</v>
      </c>
    </row>
    <row r="189" spans="1:12" ht="15.6" x14ac:dyDescent="0.3">
      <c r="A189" s="3">
        <v>1179</v>
      </c>
      <c r="B189" s="4" t="s">
        <v>47</v>
      </c>
      <c r="C189" s="4" t="s">
        <v>17</v>
      </c>
      <c r="D189" s="4" t="s">
        <v>34</v>
      </c>
      <c r="E189" s="4" t="s">
        <v>39</v>
      </c>
      <c r="F189" s="4">
        <v>6</v>
      </c>
      <c r="G189" s="4">
        <v>10400</v>
      </c>
      <c r="H189" s="4">
        <v>2</v>
      </c>
      <c r="I189" s="5">
        <v>46155</v>
      </c>
      <c r="J189" s="5">
        <v>46158</v>
      </c>
      <c r="K189" s="6" t="s">
        <v>15</v>
      </c>
      <c r="L189" s="28">
        <f>F189*G189*(1-H189/100)</f>
        <v>61152</v>
      </c>
    </row>
    <row r="190" spans="1:12" ht="15.6" x14ac:dyDescent="0.3">
      <c r="A190" s="3">
        <v>1145</v>
      </c>
      <c r="B190" s="4" t="s">
        <v>42</v>
      </c>
      <c r="C190" s="4" t="s">
        <v>33</v>
      </c>
      <c r="D190" s="4" t="s">
        <v>34</v>
      </c>
      <c r="E190" s="4" t="s">
        <v>39</v>
      </c>
      <c r="F190" s="4">
        <v>2</v>
      </c>
      <c r="G190" s="4">
        <v>34429</v>
      </c>
      <c r="H190" s="4">
        <v>12</v>
      </c>
      <c r="I190" s="5">
        <v>46102</v>
      </c>
      <c r="J190" s="5">
        <v>46112</v>
      </c>
      <c r="K190" s="6" t="s">
        <v>24</v>
      </c>
      <c r="L190" s="28">
        <f>F190*G190*(1-H190/100)</f>
        <v>60595.040000000001</v>
      </c>
    </row>
    <row r="191" spans="1:12" ht="15.6" x14ac:dyDescent="0.3">
      <c r="A191" s="3">
        <v>1196</v>
      </c>
      <c r="B191" s="4" t="s">
        <v>48</v>
      </c>
      <c r="C191" s="4" t="s">
        <v>22</v>
      </c>
      <c r="D191" s="4" t="s">
        <v>34</v>
      </c>
      <c r="E191" s="4" t="s">
        <v>35</v>
      </c>
      <c r="F191" s="4">
        <v>20</v>
      </c>
      <c r="G191" s="4">
        <v>3172</v>
      </c>
      <c r="H191" s="4">
        <v>5</v>
      </c>
      <c r="I191" s="5">
        <v>46155</v>
      </c>
      <c r="J191" s="5">
        <v>46159</v>
      </c>
      <c r="K191" s="6" t="s">
        <v>20</v>
      </c>
      <c r="L191" s="28">
        <f>F191*G191*(1-H191/100)</f>
        <v>60268</v>
      </c>
    </row>
    <row r="192" spans="1:12" ht="15.6" x14ac:dyDescent="0.3">
      <c r="A192" s="3">
        <v>1313</v>
      </c>
      <c r="B192" s="4" t="s">
        <v>59</v>
      </c>
      <c r="C192" s="4" t="s">
        <v>22</v>
      </c>
      <c r="D192" s="4" t="s">
        <v>18</v>
      </c>
      <c r="E192" s="4" t="s">
        <v>56</v>
      </c>
      <c r="F192" s="4">
        <v>6</v>
      </c>
      <c r="G192" s="4">
        <v>10864</v>
      </c>
      <c r="H192" s="4">
        <v>10</v>
      </c>
      <c r="I192" s="5">
        <v>46041</v>
      </c>
      <c r="J192" s="5">
        <v>46049</v>
      </c>
      <c r="K192" s="6" t="s">
        <v>15</v>
      </c>
      <c r="L192" s="28">
        <f>F192*G192*(1-H192/100)</f>
        <v>58665.599999999999</v>
      </c>
    </row>
    <row r="193" spans="1:12" ht="15.6" x14ac:dyDescent="0.3">
      <c r="A193" s="3">
        <v>1188</v>
      </c>
      <c r="B193" s="4" t="s">
        <v>29</v>
      </c>
      <c r="C193" s="4" t="s">
        <v>22</v>
      </c>
      <c r="D193" s="4" t="s">
        <v>18</v>
      </c>
      <c r="E193" s="4" t="s">
        <v>56</v>
      </c>
      <c r="F193" s="4">
        <v>6</v>
      </c>
      <c r="G193" s="4">
        <v>10368</v>
      </c>
      <c r="H193" s="4">
        <v>7</v>
      </c>
      <c r="I193" s="5">
        <v>46137</v>
      </c>
      <c r="J193" s="5">
        <v>46142</v>
      </c>
      <c r="K193" s="6" t="s">
        <v>15</v>
      </c>
      <c r="L193" s="28">
        <f>F193*G193*(1-H193/100)</f>
        <v>57853.439999999995</v>
      </c>
    </row>
    <row r="194" spans="1:12" ht="15.6" x14ac:dyDescent="0.3">
      <c r="A194" s="3">
        <v>1044</v>
      </c>
      <c r="B194" s="4" t="s">
        <v>48</v>
      </c>
      <c r="C194" s="4" t="s">
        <v>38</v>
      </c>
      <c r="D194" s="4" t="s">
        <v>18</v>
      </c>
      <c r="E194" s="4" t="s">
        <v>19</v>
      </c>
      <c r="F194" s="4">
        <v>4</v>
      </c>
      <c r="G194" s="4">
        <v>14731</v>
      </c>
      <c r="H194" s="4">
        <v>2</v>
      </c>
      <c r="I194" s="5">
        <v>46173</v>
      </c>
      <c r="J194" s="5">
        <v>46176</v>
      </c>
      <c r="K194" s="6" t="s">
        <v>20</v>
      </c>
      <c r="L194" s="28">
        <f>F194*G194*(1-H194/100)</f>
        <v>57745.52</v>
      </c>
    </row>
    <row r="195" spans="1:12" ht="15.6" x14ac:dyDescent="0.3">
      <c r="A195" s="3">
        <v>1323</v>
      </c>
      <c r="B195" s="4" t="s">
        <v>57</v>
      </c>
      <c r="C195" s="4" t="s">
        <v>38</v>
      </c>
      <c r="D195" s="4" t="s">
        <v>34</v>
      </c>
      <c r="E195" s="4" t="s">
        <v>61</v>
      </c>
      <c r="F195" s="4">
        <v>2</v>
      </c>
      <c r="G195" s="4">
        <v>32074</v>
      </c>
      <c r="H195" s="4">
        <v>10</v>
      </c>
      <c r="I195" s="5">
        <v>46073</v>
      </c>
      <c r="J195" s="5">
        <v>46078</v>
      </c>
      <c r="K195" s="6" t="s">
        <v>15</v>
      </c>
      <c r="L195" s="28">
        <f>F195*G195*(1-H195/100)</f>
        <v>57733.200000000004</v>
      </c>
    </row>
    <row r="196" spans="1:12" ht="15.6" x14ac:dyDescent="0.3">
      <c r="A196" s="3">
        <v>1336</v>
      </c>
      <c r="B196" s="4" t="s">
        <v>16</v>
      </c>
      <c r="C196" s="4" t="s">
        <v>25</v>
      </c>
      <c r="D196" s="4" t="s">
        <v>18</v>
      </c>
      <c r="E196" s="4" t="s">
        <v>56</v>
      </c>
      <c r="F196" s="4">
        <v>10</v>
      </c>
      <c r="G196" s="4">
        <v>5624</v>
      </c>
      <c r="H196" s="4">
        <v>0</v>
      </c>
      <c r="I196" s="5">
        <v>46086</v>
      </c>
      <c r="J196" s="5">
        <v>46092</v>
      </c>
      <c r="K196" s="6" t="s">
        <v>29</v>
      </c>
      <c r="L196" s="28">
        <f>F196*G196*(1-H196/100)</f>
        <v>56240</v>
      </c>
    </row>
    <row r="197" spans="1:12" ht="15.6" x14ac:dyDescent="0.3">
      <c r="A197" s="3">
        <v>1107</v>
      </c>
      <c r="B197" s="4" t="s">
        <v>52</v>
      </c>
      <c r="C197" s="4" t="s">
        <v>17</v>
      </c>
      <c r="D197" s="4" t="s">
        <v>34</v>
      </c>
      <c r="E197" s="4" t="s">
        <v>60</v>
      </c>
      <c r="F197" s="4">
        <v>4</v>
      </c>
      <c r="G197" s="4">
        <v>14291</v>
      </c>
      <c r="H197" s="4">
        <v>2</v>
      </c>
      <c r="I197" s="5">
        <v>46076</v>
      </c>
      <c r="J197" s="5">
        <v>46078</v>
      </c>
      <c r="K197" s="6" t="s">
        <v>15</v>
      </c>
      <c r="L197" s="28">
        <f>F197*G197*(1-H197/100)</f>
        <v>56020.72</v>
      </c>
    </row>
    <row r="198" spans="1:12" ht="15.6" x14ac:dyDescent="0.3">
      <c r="A198" s="3">
        <v>1244</v>
      </c>
      <c r="B198" s="4" t="s">
        <v>57</v>
      </c>
      <c r="C198" s="4" t="s">
        <v>38</v>
      </c>
      <c r="D198" s="4" t="s">
        <v>18</v>
      </c>
      <c r="E198" s="4" t="s">
        <v>28</v>
      </c>
      <c r="F198" s="4">
        <v>10</v>
      </c>
      <c r="G198" s="4">
        <v>6339</v>
      </c>
      <c r="H198" s="4">
        <v>12</v>
      </c>
      <c r="I198" s="5">
        <v>46200</v>
      </c>
      <c r="J198" s="5">
        <v>46205</v>
      </c>
      <c r="K198" s="6" t="s">
        <v>15</v>
      </c>
      <c r="L198" s="28">
        <f>F198*G198*(1-H198/100)</f>
        <v>55783.199999999997</v>
      </c>
    </row>
    <row r="199" spans="1:12" ht="15.6" x14ac:dyDescent="0.3">
      <c r="A199" s="3">
        <v>1133</v>
      </c>
      <c r="B199" s="4" t="s">
        <v>11</v>
      </c>
      <c r="C199" s="4" t="s">
        <v>12</v>
      </c>
      <c r="D199" s="4" t="s">
        <v>18</v>
      </c>
      <c r="E199" s="4" t="s">
        <v>56</v>
      </c>
      <c r="F199" s="4">
        <v>6</v>
      </c>
      <c r="G199" s="4">
        <v>9037</v>
      </c>
      <c r="H199" s="4">
        <v>2</v>
      </c>
      <c r="I199" s="5">
        <v>46112</v>
      </c>
      <c r="J199" s="5">
        <v>46121</v>
      </c>
      <c r="K199" s="6" t="s">
        <v>51</v>
      </c>
      <c r="L199" s="28">
        <f>F199*G199*(1-H199/100)</f>
        <v>53137.56</v>
      </c>
    </row>
    <row r="200" spans="1:12" ht="15.6" x14ac:dyDescent="0.3">
      <c r="A200" s="3">
        <v>1046</v>
      </c>
      <c r="B200" s="4" t="s">
        <v>57</v>
      </c>
      <c r="C200" s="4" t="s">
        <v>38</v>
      </c>
      <c r="D200" s="4" t="s">
        <v>34</v>
      </c>
      <c r="E200" s="4" t="s">
        <v>45</v>
      </c>
      <c r="F200" s="4">
        <v>3</v>
      </c>
      <c r="G200" s="4">
        <v>19443</v>
      </c>
      <c r="H200" s="4">
        <v>10</v>
      </c>
      <c r="I200" s="5">
        <v>46153</v>
      </c>
      <c r="J200" s="5">
        <v>46158</v>
      </c>
      <c r="K200" s="6" t="s">
        <v>29</v>
      </c>
      <c r="L200" s="28">
        <f>F200*G200*(1-H200/100)</f>
        <v>52496.1</v>
      </c>
    </row>
    <row r="201" spans="1:12" ht="15.6" x14ac:dyDescent="0.3">
      <c r="A201" s="3">
        <v>1002</v>
      </c>
      <c r="B201" s="4" t="s">
        <v>16</v>
      </c>
      <c r="C201" s="4" t="s">
        <v>17</v>
      </c>
      <c r="D201" s="4" t="s">
        <v>18</v>
      </c>
      <c r="E201" s="4" t="s">
        <v>19</v>
      </c>
      <c r="F201" s="4">
        <v>7</v>
      </c>
      <c r="G201" s="4">
        <v>8448</v>
      </c>
      <c r="H201" s="4">
        <v>12</v>
      </c>
      <c r="I201" s="5">
        <v>46174</v>
      </c>
      <c r="J201" s="5">
        <v>46179</v>
      </c>
      <c r="K201" s="6" t="s">
        <v>20</v>
      </c>
      <c r="L201" s="28">
        <f>F201*G201*(1-H201/100)</f>
        <v>52039.68</v>
      </c>
    </row>
    <row r="202" spans="1:12" ht="15.6" x14ac:dyDescent="0.3">
      <c r="A202" s="3">
        <v>1023</v>
      </c>
      <c r="B202" s="4" t="s">
        <v>40</v>
      </c>
      <c r="C202" s="4" t="s">
        <v>12</v>
      </c>
      <c r="D202" s="4" t="s">
        <v>18</v>
      </c>
      <c r="E202" s="4" t="s">
        <v>44</v>
      </c>
      <c r="F202" s="4">
        <v>15</v>
      </c>
      <c r="G202" s="4">
        <v>3506</v>
      </c>
      <c r="H202" s="4">
        <v>2</v>
      </c>
      <c r="I202" s="5">
        <v>46193</v>
      </c>
      <c r="J202" s="5">
        <v>46194</v>
      </c>
      <c r="K202" s="6" t="s">
        <v>29</v>
      </c>
      <c r="L202" s="28">
        <f>F202*G202*(1-H202/100)</f>
        <v>51538.2</v>
      </c>
    </row>
    <row r="203" spans="1:12" ht="15.6" x14ac:dyDescent="0.3">
      <c r="A203" s="3">
        <v>1058</v>
      </c>
      <c r="B203" s="4" t="s">
        <v>52</v>
      </c>
      <c r="C203" s="4" t="s">
        <v>38</v>
      </c>
      <c r="D203" s="4" t="s">
        <v>18</v>
      </c>
      <c r="E203" s="4" t="s">
        <v>28</v>
      </c>
      <c r="F203" s="4">
        <v>10</v>
      </c>
      <c r="G203" s="4">
        <v>5532</v>
      </c>
      <c r="H203" s="4">
        <v>7</v>
      </c>
      <c r="I203" s="5">
        <v>46074</v>
      </c>
      <c r="J203" s="5">
        <v>46084</v>
      </c>
      <c r="K203" s="6" t="s">
        <v>24</v>
      </c>
      <c r="L203" s="28">
        <f>F203*G203*(1-H203/100)</f>
        <v>51447.6</v>
      </c>
    </row>
    <row r="204" spans="1:12" ht="15.6" x14ac:dyDescent="0.3">
      <c r="A204" s="3">
        <v>1162</v>
      </c>
      <c r="B204" s="4" t="s">
        <v>57</v>
      </c>
      <c r="C204" s="4" t="s">
        <v>31</v>
      </c>
      <c r="D204" s="4" t="s">
        <v>34</v>
      </c>
      <c r="E204" s="4" t="s">
        <v>45</v>
      </c>
      <c r="F204" s="4">
        <v>2</v>
      </c>
      <c r="G204" s="4">
        <v>28176</v>
      </c>
      <c r="H204" s="4">
        <v>10</v>
      </c>
      <c r="I204" s="5">
        <v>46100</v>
      </c>
      <c r="J204" s="5">
        <v>46101</v>
      </c>
      <c r="K204" s="6" t="s">
        <v>20</v>
      </c>
      <c r="L204" s="28">
        <f>F204*G204*(1-H204/100)</f>
        <v>50716.800000000003</v>
      </c>
    </row>
    <row r="205" spans="1:12" ht="15.6" x14ac:dyDescent="0.3">
      <c r="A205" s="3">
        <v>1150</v>
      </c>
      <c r="B205" s="4" t="s">
        <v>42</v>
      </c>
      <c r="C205" s="4" t="s">
        <v>12</v>
      </c>
      <c r="D205" s="4" t="s">
        <v>18</v>
      </c>
      <c r="E205" s="4" t="s">
        <v>56</v>
      </c>
      <c r="F205" s="4">
        <v>10</v>
      </c>
      <c r="G205" s="4">
        <v>5323</v>
      </c>
      <c r="H205" s="4">
        <v>7</v>
      </c>
      <c r="I205" s="5">
        <v>46143</v>
      </c>
      <c r="J205" s="5">
        <v>46153</v>
      </c>
      <c r="K205" s="6" t="s">
        <v>24</v>
      </c>
      <c r="L205" s="28">
        <f>F205*G205*(1-H205/100)</f>
        <v>49503.899999999994</v>
      </c>
    </row>
    <row r="206" spans="1:12" ht="15.6" x14ac:dyDescent="0.3">
      <c r="A206" s="3">
        <v>1243</v>
      </c>
      <c r="B206" s="4" t="s">
        <v>30</v>
      </c>
      <c r="C206" s="4" t="s">
        <v>31</v>
      </c>
      <c r="D206" s="4" t="s">
        <v>34</v>
      </c>
      <c r="E206" s="4" t="s">
        <v>41</v>
      </c>
      <c r="F206" s="4">
        <v>5</v>
      </c>
      <c r="G206" s="4">
        <v>11570</v>
      </c>
      <c r="H206" s="4">
        <v>15</v>
      </c>
      <c r="I206" s="5">
        <v>46069</v>
      </c>
      <c r="J206" s="5">
        <v>46077</v>
      </c>
      <c r="K206" s="6" t="s">
        <v>24</v>
      </c>
      <c r="L206" s="28">
        <f>F206*G206*(1-H206/100)</f>
        <v>49172.5</v>
      </c>
    </row>
    <row r="207" spans="1:12" ht="15.6" x14ac:dyDescent="0.3">
      <c r="A207" s="3">
        <v>1124</v>
      </c>
      <c r="B207" s="4" t="s">
        <v>27</v>
      </c>
      <c r="C207" s="4" t="s">
        <v>38</v>
      </c>
      <c r="D207" s="4" t="s">
        <v>18</v>
      </c>
      <c r="E207" s="4" t="s">
        <v>56</v>
      </c>
      <c r="F207" s="4">
        <v>4</v>
      </c>
      <c r="G207" s="4">
        <v>14195</v>
      </c>
      <c r="H207" s="4">
        <v>15</v>
      </c>
      <c r="I207" s="5">
        <v>46182</v>
      </c>
      <c r="J207" s="5">
        <v>46189</v>
      </c>
      <c r="K207" s="6" t="s">
        <v>51</v>
      </c>
      <c r="L207" s="28">
        <f>F207*G207*(1-H207/100)</f>
        <v>48263</v>
      </c>
    </row>
    <row r="208" spans="1:12" ht="15.6" x14ac:dyDescent="0.3">
      <c r="A208" s="3">
        <v>1155</v>
      </c>
      <c r="B208" s="4" t="s">
        <v>11</v>
      </c>
      <c r="C208" s="4" t="s">
        <v>31</v>
      </c>
      <c r="D208" s="4" t="s">
        <v>18</v>
      </c>
      <c r="E208" s="4" t="s">
        <v>28</v>
      </c>
      <c r="F208" s="4">
        <v>13</v>
      </c>
      <c r="G208" s="4">
        <v>4341</v>
      </c>
      <c r="H208" s="4">
        <v>15</v>
      </c>
      <c r="I208" s="5">
        <v>46093</v>
      </c>
      <c r="J208" s="5">
        <v>46096</v>
      </c>
      <c r="K208" s="6" t="s">
        <v>24</v>
      </c>
      <c r="L208" s="28">
        <f>F208*G208*(1-H208/100)</f>
        <v>47968.049999999996</v>
      </c>
    </row>
    <row r="209" spans="1:12" ht="15.6" x14ac:dyDescent="0.3">
      <c r="A209" s="3">
        <v>1193</v>
      </c>
      <c r="B209" s="4" t="s">
        <v>57</v>
      </c>
      <c r="C209" s="4" t="s">
        <v>12</v>
      </c>
      <c r="D209" s="4" t="s">
        <v>18</v>
      </c>
      <c r="E209" s="4" t="s">
        <v>23</v>
      </c>
      <c r="F209" s="4">
        <v>19</v>
      </c>
      <c r="G209" s="4">
        <v>2699</v>
      </c>
      <c r="H209" s="4">
        <v>7</v>
      </c>
      <c r="I209" s="5">
        <v>46110</v>
      </c>
      <c r="J209" s="5">
        <v>46112</v>
      </c>
      <c r="K209" s="6" t="s">
        <v>29</v>
      </c>
      <c r="L209" s="28">
        <f>F209*G209*(1-H209/100)</f>
        <v>47691.329999999994</v>
      </c>
    </row>
    <row r="210" spans="1:12" ht="15.6" x14ac:dyDescent="0.3">
      <c r="A210" s="3">
        <v>1358</v>
      </c>
      <c r="B210" s="4" t="s">
        <v>40</v>
      </c>
      <c r="C210" s="4" t="s">
        <v>38</v>
      </c>
      <c r="D210" s="4" t="s">
        <v>18</v>
      </c>
      <c r="E210" s="4" t="s">
        <v>19</v>
      </c>
      <c r="F210" s="4">
        <v>7</v>
      </c>
      <c r="G210" s="4">
        <v>6618</v>
      </c>
      <c r="H210" s="4">
        <v>0</v>
      </c>
      <c r="I210" s="5">
        <v>46127</v>
      </c>
      <c r="J210" s="5">
        <v>46129</v>
      </c>
      <c r="K210" s="6" t="s">
        <v>20</v>
      </c>
      <c r="L210" s="28">
        <f>F210*G210*(1-H210/100)</f>
        <v>46326</v>
      </c>
    </row>
    <row r="211" spans="1:12" ht="15.6" x14ac:dyDescent="0.3">
      <c r="A211" s="3">
        <v>1221</v>
      </c>
      <c r="B211" s="4" t="s">
        <v>11</v>
      </c>
      <c r="C211" s="4" t="s">
        <v>31</v>
      </c>
      <c r="D211" s="4" t="s">
        <v>18</v>
      </c>
      <c r="E211" s="4" t="s">
        <v>56</v>
      </c>
      <c r="F211" s="4">
        <v>18</v>
      </c>
      <c r="G211" s="4">
        <v>2681</v>
      </c>
      <c r="H211" s="4">
        <v>10</v>
      </c>
      <c r="I211" s="5">
        <v>46122</v>
      </c>
      <c r="J211" s="5">
        <v>46125</v>
      </c>
      <c r="K211" s="6" t="s">
        <v>51</v>
      </c>
      <c r="L211" s="28">
        <f>F211*G211*(1-H211/100)</f>
        <v>43432.200000000004</v>
      </c>
    </row>
    <row r="212" spans="1:12" ht="15.6" x14ac:dyDescent="0.3">
      <c r="A212" s="3">
        <v>1033</v>
      </c>
      <c r="B212" s="4" t="s">
        <v>11</v>
      </c>
      <c r="C212" s="4" t="s">
        <v>43</v>
      </c>
      <c r="D212" s="4" t="s">
        <v>18</v>
      </c>
      <c r="E212" s="4" t="s">
        <v>19</v>
      </c>
      <c r="F212" s="4">
        <v>9</v>
      </c>
      <c r="G212" s="4">
        <v>4895</v>
      </c>
      <c r="H212" s="4">
        <v>2</v>
      </c>
      <c r="I212" s="5">
        <v>46082</v>
      </c>
      <c r="J212" s="5">
        <v>46084</v>
      </c>
      <c r="K212" s="6" t="s">
        <v>29</v>
      </c>
      <c r="L212" s="28">
        <f>F212*G212*(1-H212/100)</f>
        <v>43173.9</v>
      </c>
    </row>
    <row r="213" spans="1:12" ht="15.6" x14ac:dyDescent="0.3">
      <c r="A213" s="3">
        <v>1106</v>
      </c>
      <c r="B213" s="4" t="s">
        <v>27</v>
      </c>
      <c r="C213" s="4" t="s">
        <v>43</v>
      </c>
      <c r="D213" s="4" t="s">
        <v>18</v>
      </c>
      <c r="E213" s="4" t="s">
        <v>23</v>
      </c>
      <c r="F213" s="4">
        <v>20</v>
      </c>
      <c r="G213" s="4">
        <v>2141</v>
      </c>
      <c r="H213" s="4">
        <v>2</v>
      </c>
      <c r="I213" s="5">
        <v>46091</v>
      </c>
      <c r="J213" s="5">
        <v>46097</v>
      </c>
      <c r="K213" s="6" t="s">
        <v>29</v>
      </c>
      <c r="L213" s="28">
        <f>F213*G213*(1-H213/100)</f>
        <v>41963.6</v>
      </c>
    </row>
    <row r="214" spans="1:12" ht="15.6" x14ac:dyDescent="0.3">
      <c r="A214" s="3">
        <v>1093</v>
      </c>
      <c r="B214" s="4" t="s">
        <v>47</v>
      </c>
      <c r="C214" s="4" t="s">
        <v>25</v>
      </c>
      <c r="D214" s="4" t="s">
        <v>18</v>
      </c>
      <c r="E214" s="4" t="s">
        <v>23</v>
      </c>
      <c r="F214" s="4">
        <v>6</v>
      </c>
      <c r="G214" s="4">
        <v>8224</v>
      </c>
      <c r="H214" s="4">
        <v>15</v>
      </c>
      <c r="I214" s="5">
        <v>46175</v>
      </c>
      <c r="J214" s="5">
        <v>46185</v>
      </c>
      <c r="K214" s="6" t="s">
        <v>51</v>
      </c>
      <c r="L214" s="28">
        <f>F214*G214*(1-H214/100)</f>
        <v>41942.400000000001</v>
      </c>
    </row>
    <row r="215" spans="1:12" ht="15.6" x14ac:dyDescent="0.3">
      <c r="A215" s="3">
        <v>1321</v>
      </c>
      <c r="B215" s="4" t="s">
        <v>32</v>
      </c>
      <c r="C215" s="4" t="s">
        <v>22</v>
      </c>
      <c r="D215" s="4" t="s">
        <v>18</v>
      </c>
      <c r="E215" s="4" t="s">
        <v>19</v>
      </c>
      <c r="F215" s="4">
        <v>8</v>
      </c>
      <c r="G215" s="4">
        <v>5619</v>
      </c>
      <c r="H215" s="4">
        <v>7</v>
      </c>
      <c r="I215" s="5">
        <v>46107</v>
      </c>
      <c r="J215" s="5">
        <v>46109</v>
      </c>
      <c r="K215" s="6" t="s">
        <v>51</v>
      </c>
      <c r="L215" s="28">
        <f>F215*G215*(1-H215/100)</f>
        <v>41805.360000000001</v>
      </c>
    </row>
    <row r="216" spans="1:12" ht="15.6" x14ac:dyDescent="0.3">
      <c r="A216" s="3">
        <v>1208</v>
      </c>
      <c r="B216" s="4" t="s">
        <v>54</v>
      </c>
      <c r="C216" s="4" t="s">
        <v>43</v>
      </c>
      <c r="D216" s="4" t="s">
        <v>18</v>
      </c>
      <c r="E216" s="4" t="s">
        <v>44</v>
      </c>
      <c r="F216" s="4">
        <v>6</v>
      </c>
      <c r="G216" s="4">
        <v>7627</v>
      </c>
      <c r="H216" s="4">
        <v>10</v>
      </c>
      <c r="I216" s="5">
        <v>46042</v>
      </c>
      <c r="J216" s="5">
        <v>46047</v>
      </c>
      <c r="K216" s="6" t="s">
        <v>20</v>
      </c>
      <c r="L216" s="28">
        <f>F216*G216*(1-H216/100)</f>
        <v>41185.800000000003</v>
      </c>
    </row>
    <row r="217" spans="1:12" ht="15.6" x14ac:dyDescent="0.3">
      <c r="A217" s="3">
        <v>1340</v>
      </c>
      <c r="B217" s="4" t="s">
        <v>48</v>
      </c>
      <c r="C217" s="4" t="s">
        <v>17</v>
      </c>
      <c r="D217" s="4" t="s">
        <v>18</v>
      </c>
      <c r="E217" s="4" t="s">
        <v>19</v>
      </c>
      <c r="F217" s="4">
        <v>12</v>
      </c>
      <c r="G217" s="4">
        <v>3857</v>
      </c>
      <c r="H217" s="4">
        <v>12</v>
      </c>
      <c r="I217" s="5">
        <v>46196</v>
      </c>
      <c r="J217" s="5">
        <v>46198</v>
      </c>
      <c r="K217" s="6" t="s">
        <v>51</v>
      </c>
      <c r="L217" s="28">
        <f>F217*G217*(1-H217/100)</f>
        <v>40729.919999999998</v>
      </c>
    </row>
    <row r="218" spans="1:12" ht="15.6" x14ac:dyDescent="0.3">
      <c r="A218" s="3">
        <v>1232</v>
      </c>
      <c r="B218" s="4" t="s">
        <v>21</v>
      </c>
      <c r="C218" s="4" t="s">
        <v>12</v>
      </c>
      <c r="D218" s="4" t="s">
        <v>34</v>
      </c>
      <c r="E218" s="4" t="s">
        <v>60</v>
      </c>
      <c r="F218" s="4">
        <v>3</v>
      </c>
      <c r="G218" s="4">
        <v>13272</v>
      </c>
      <c r="H218" s="4">
        <v>2</v>
      </c>
      <c r="I218" s="5">
        <v>46060</v>
      </c>
      <c r="J218" s="5">
        <v>46065</v>
      </c>
      <c r="K218" s="6" t="s">
        <v>15</v>
      </c>
      <c r="L218" s="28">
        <f>F218*G218*(1-H218/100)</f>
        <v>39019.68</v>
      </c>
    </row>
    <row r="219" spans="1:12" ht="15.6" x14ac:dyDescent="0.3">
      <c r="A219" s="3">
        <v>1190</v>
      </c>
      <c r="B219" s="4" t="s">
        <v>57</v>
      </c>
      <c r="C219" s="4" t="s">
        <v>17</v>
      </c>
      <c r="D219" s="4" t="s">
        <v>18</v>
      </c>
      <c r="E219" s="4" t="s">
        <v>28</v>
      </c>
      <c r="F219" s="4">
        <v>4</v>
      </c>
      <c r="G219" s="4">
        <v>10154</v>
      </c>
      <c r="H219" s="4">
        <v>7</v>
      </c>
      <c r="I219" s="5">
        <v>46052</v>
      </c>
      <c r="J219" s="5">
        <v>46062</v>
      </c>
      <c r="K219" s="6" t="s">
        <v>20</v>
      </c>
      <c r="L219" s="28">
        <f>F219*G219*(1-H219/100)</f>
        <v>37772.879999999997</v>
      </c>
    </row>
    <row r="220" spans="1:12" ht="15.6" x14ac:dyDescent="0.3">
      <c r="A220" s="3">
        <v>1069</v>
      </c>
      <c r="B220" s="4" t="s">
        <v>52</v>
      </c>
      <c r="C220" s="4" t="s">
        <v>31</v>
      </c>
      <c r="D220" s="4" t="s">
        <v>18</v>
      </c>
      <c r="E220" s="4" t="s">
        <v>28</v>
      </c>
      <c r="F220" s="4">
        <v>9</v>
      </c>
      <c r="G220" s="4">
        <v>4415</v>
      </c>
      <c r="H220" s="4">
        <v>5</v>
      </c>
      <c r="I220" s="5">
        <v>46039</v>
      </c>
      <c r="J220" s="5">
        <v>46046</v>
      </c>
      <c r="K220" s="6" t="s">
        <v>15</v>
      </c>
      <c r="L220" s="28">
        <f>F220*G220*(1-H220/100)</f>
        <v>37748.25</v>
      </c>
    </row>
    <row r="221" spans="1:12" ht="15.6" x14ac:dyDescent="0.3">
      <c r="A221" s="3">
        <v>1131</v>
      </c>
      <c r="B221" s="4" t="s">
        <v>21</v>
      </c>
      <c r="C221" s="4" t="s">
        <v>31</v>
      </c>
      <c r="D221" s="4" t="s">
        <v>18</v>
      </c>
      <c r="E221" s="4" t="s">
        <v>23</v>
      </c>
      <c r="F221" s="4">
        <v>13</v>
      </c>
      <c r="G221" s="4">
        <v>3083</v>
      </c>
      <c r="H221" s="4">
        <v>7</v>
      </c>
      <c r="I221" s="5">
        <v>46168</v>
      </c>
      <c r="J221" s="5">
        <v>46173</v>
      </c>
      <c r="K221" s="6" t="s">
        <v>51</v>
      </c>
      <c r="L221" s="28">
        <f>F221*G221*(1-H221/100)</f>
        <v>37273.469999999994</v>
      </c>
    </row>
    <row r="222" spans="1:12" ht="15.6" x14ac:dyDescent="0.3">
      <c r="A222" s="3">
        <v>1381</v>
      </c>
      <c r="B222" s="4" t="s">
        <v>55</v>
      </c>
      <c r="C222" s="4" t="s">
        <v>33</v>
      </c>
      <c r="D222" s="4" t="s">
        <v>18</v>
      </c>
      <c r="E222" s="4" t="s">
        <v>28</v>
      </c>
      <c r="F222" s="4">
        <v>5</v>
      </c>
      <c r="G222" s="4">
        <v>7484</v>
      </c>
      <c r="H222" s="4">
        <v>2</v>
      </c>
      <c r="I222" s="5">
        <v>46089</v>
      </c>
      <c r="J222" s="5">
        <v>46093</v>
      </c>
      <c r="K222" s="6" t="s">
        <v>20</v>
      </c>
      <c r="L222" s="28">
        <f>F222*G222*(1-H222/100)</f>
        <v>36671.599999999999</v>
      </c>
    </row>
    <row r="223" spans="1:12" ht="15.6" x14ac:dyDescent="0.3">
      <c r="A223" s="3">
        <v>1003</v>
      </c>
      <c r="B223" s="4" t="s">
        <v>21</v>
      </c>
      <c r="C223" s="4" t="s">
        <v>22</v>
      </c>
      <c r="D223" s="4" t="s">
        <v>18</v>
      </c>
      <c r="E223" s="4" t="s">
        <v>23</v>
      </c>
      <c r="F223" s="4">
        <v>20</v>
      </c>
      <c r="G223" s="4">
        <v>2123</v>
      </c>
      <c r="H223" s="4">
        <v>15</v>
      </c>
      <c r="I223" s="5">
        <v>46183</v>
      </c>
      <c r="J223" s="5">
        <v>46192</v>
      </c>
      <c r="K223" s="6" t="s">
        <v>24</v>
      </c>
      <c r="L223" s="28">
        <f>F223*G223*(1-H223/100)</f>
        <v>36091</v>
      </c>
    </row>
    <row r="224" spans="1:12" ht="15.6" x14ac:dyDescent="0.3">
      <c r="A224" s="3">
        <v>1202</v>
      </c>
      <c r="B224" s="4" t="s">
        <v>57</v>
      </c>
      <c r="C224" s="4" t="s">
        <v>22</v>
      </c>
      <c r="D224" s="4" t="s">
        <v>34</v>
      </c>
      <c r="E224" s="4" t="s">
        <v>35</v>
      </c>
      <c r="F224" s="4">
        <v>2</v>
      </c>
      <c r="G224" s="4">
        <v>20312</v>
      </c>
      <c r="H224" s="4">
        <v>12</v>
      </c>
      <c r="I224" s="5">
        <v>46082</v>
      </c>
      <c r="J224" s="5">
        <v>46091</v>
      </c>
      <c r="K224" s="6" t="s">
        <v>15</v>
      </c>
      <c r="L224" s="28">
        <f>F224*G224*(1-H224/100)</f>
        <v>35749.120000000003</v>
      </c>
    </row>
    <row r="225" spans="1:12" ht="15.6" x14ac:dyDescent="0.3">
      <c r="A225" s="3">
        <v>1282</v>
      </c>
      <c r="B225" s="4" t="s">
        <v>57</v>
      </c>
      <c r="C225" s="4" t="s">
        <v>43</v>
      </c>
      <c r="D225" s="4" t="s">
        <v>18</v>
      </c>
      <c r="E225" s="4" t="s">
        <v>44</v>
      </c>
      <c r="F225" s="4">
        <v>12</v>
      </c>
      <c r="G225" s="4">
        <v>3178</v>
      </c>
      <c r="H225" s="4">
        <v>10</v>
      </c>
      <c r="I225" s="5">
        <v>46176</v>
      </c>
      <c r="J225" s="5">
        <v>46177</v>
      </c>
      <c r="K225" s="6" t="s">
        <v>29</v>
      </c>
      <c r="L225" s="28">
        <f>F225*G225*(1-H225/100)</f>
        <v>34322.400000000001</v>
      </c>
    </row>
    <row r="226" spans="1:12" ht="15.6" x14ac:dyDescent="0.3">
      <c r="A226" s="3">
        <v>1148</v>
      </c>
      <c r="B226" s="4" t="s">
        <v>59</v>
      </c>
      <c r="C226" s="4" t="s">
        <v>33</v>
      </c>
      <c r="D226" s="4" t="s">
        <v>18</v>
      </c>
      <c r="E226" s="4" t="s">
        <v>28</v>
      </c>
      <c r="F226" s="4">
        <v>11</v>
      </c>
      <c r="G226" s="4">
        <v>3023</v>
      </c>
      <c r="H226" s="4">
        <v>7</v>
      </c>
      <c r="I226" s="5">
        <v>46030</v>
      </c>
      <c r="J226" s="5">
        <v>46032</v>
      </c>
      <c r="K226" s="6" t="s">
        <v>24</v>
      </c>
      <c r="L226" s="28">
        <f>F226*G226*(1-H226/100)</f>
        <v>30925.289999999997</v>
      </c>
    </row>
    <row r="227" spans="1:12" ht="15.6" x14ac:dyDescent="0.3">
      <c r="A227" s="3">
        <v>1326</v>
      </c>
      <c r="B227" s="4" t="s">
        <v>26</v>
      </c>
      <c r="C227" s="4" t="s">
        <v>17</v>
      </c>
      <c r="D227" s="4" t="s">
        <v>18</v>
      </c>
      <c r="E227" s="4" t="s">
        <v>44</v>
      </c>
      <c r="F227" s="4">
        <v>18</v>
      </c>
      <c r="G227" s="4">
        <v>1830</v>
      </c>
      <c r="H227" s="4">
        <v>10</v>
      </c>
      <c r="I227" s="5">
        <v>46165</v>
      </c>
      <c r="J227" s="5">
        <v>46172</v>
      </c>
      <c r="K227" s="6" t="s">
        <v>15</v>
      </c>
      <c r="L227" s="28">
        <f>F227*G227*(1-H227/100)</f>
        <v>29646</v>
      </c>
    </row>
    <row r="228" spans="1:12" ht="15.6" x14ac:dyDescent="0.3">
      <c r="A228" s="3">
        <v>1094</v>
      </c>
      <c r="B228" s="4" t="s">
        <v>47</v>
      </c>
      <c r="C228" s="4" t="s">
        <v>43</v>
      </c>
      <c r="D228" s="4" t="s">
        <v>34</v>
      </c>
      <c r="E228" s="4" t="s">
        <v>61</v>
      </c>
      <c r="F228" s="4">
        <v>4</v>
      </c>
      <c r="G228" s="4">
        <v>7073</v>
      </c>
      <c r="H228" s="4">
        <v>0</v>
      </c>
      <c r="I228" s="5">
        <v>46101</v>
      </c>
      <c r="J228" s="5">
        <v>46105</v>
      </c>
      <c r="K228" s="6" t="s">
        <v>29</v>
      </c>
      <c r="L228" s="28">
        <f>F228*G228*(1-H228/100)</f>
        <v>28292</v>
      </c>
    </row>
    <row r="229" spans="1:12" ht="15.6" x14ac:dyDescent="0.3">
      <c r="A229" s="3">
        <v>1128</v>
      </c>
      <c r="B229" s="4" t="s">
        <v>30</v>
      </c>
      <c r="C229" s="4" t="s">
        <v>22</v>
      </c>
      <c r="D229" s="4" t="s">
        <v>34</v>
      </c>
      <c r="E229" s="4" t="s">
        <v>61</v>
      </c>
      <c r="F229" s="4">
        <v>6</v>
      </c>
      <c r="G229" s="4">
        <v>5001</v>
      </c>
      <c r="H229" s="4">
        <v>7</v>
      </c>
      <c r="I229" s="5">
        <v>46044</v>
      </c>
      <c r="J229" s="5">
        <v>46050</v>
      </c>
      <c r="K229" s="6" t="s">
        <v>29</v>
      </c>
      <c r="L229" s="28">
        <f>F229*G229*(1-H229/100)</f>
        <v>27905.579999999998</v>
      </c>
    </row>
    <row r="230" spans="1:12" ht="15.6" x14ac:dyDescent="0.3">
      <c r="A230" s="3">
        <v>1056</v>
      </c>
      <c r="B230" s="4" t="s">
        <v>11</v>
      </c>
      <c r="C230" s="4" t="s">
        <v>22</v>
      </c>
      <c r="D230" s="4" t="s">
        <v>18</v>
      </c>
      <c r="E230" s="4" t="s">
        <v>19</v>
      </c>
      <c r="F230" s="4">
        <v>3</v>
      </c>
      <c r="G230" s="4">
        <v>9771</v>
      </c>
      <c r="H230" s="4">
        <v>5</v>
      </c>
      <c r="I230" s="5">
        <v>46133</v>
      </c>
      <c r="J230" s="5">
        <v>46139</v>
      </c>
      <c r="K230" s="6" t="s">
        <v>24</v>
      </c>
      <c r="L230" s="28">
        <f>F230*G230*(1-H230/100)</f>
        <v>27847.35</v>
      </c>
    </row>
    <row r="231" spans="1:12" ht="15.6" x14ac:dyDescent="0.3">
      <c r="A231" s="3">
        <v>1035</v>
      </c>
      <c r="B231" s="4" t="s">
        <v>49</v>
      </c>
      <c r="C231" s="4" t="s">
        <v>43</v>
      </c>
      <c r="D231" s="4" t="s">
        <v>18</v>
      </c>
      <c r="E231" s="4" t="s">
        <v>56</v>
      </c>
      <c r="F231" s="4">
        <v>3</v>
      </c>
      <c r="G231" s="4">
        <v>9149</v>
      </c>
      <c r="H231" s="4">
        <v>0</v>
      </c>
      <c r="I231" s="5">
        <v>46031</v>
      </c>
      <c r="J231" s="5">
        <v>46034</v>
      </c>
      <c r="K231" s="6" t="s">
        <v>24</v>
      </c>
      <c r="L231" s="28">
        <f>F231*G231*(1-H231/100)</f>
        <v>27447</v>
      </c>
    </row>
    <row r="232" spans="1:12" ht="15.6" x14ac:dyDescent="0.3">
      <c r="A232" s="3">
        <v>1300</v>
      </c>
      <c r="B232" s="4" t="s">
        <v>47</v>
      </c>
      <c r="C232" s="4" t="s">
        <v>33</v>
      </c>
      <c r="D232" s="4" t="s">
        <v>34</v>
      </c>
      <c r="E232" s="4" t="s">
        <v>45</v>
      </c>
      <c r="F232" s="4">
        <v>20</v>
      </c>
      <c r="G232" s="4">
        <v>1392</v>
      </c>
      <c r="H232" s="4">
        <v>2</v>
      </c>
      <c r="I232" s="5">
        <v>46110</v>
      </c>
      <c r="J232" s="5">
        <v>46117</v>
      </c>
      <c r="K232" s="6" t="s">
        <v>24</v>
      </c>
      <c r="L232" s="28">
        <f>F232*G232*(1-H232/100)</f>
        <v>27283.200000000001</v>
      </c>
    </row>
    <row r="233" spans="1:12" ht="15.6" x14ac:dyDescent="0.3">
      <c r="A233" s="3">
        <v>1084</v>
      </c>
      <c r="B233" s="4" t="s">
        <v>49</v>
      </c>
      <c r="C233" s="4" t="s">
        <v>31</v>
      </c>
      <c r="D233" s="4" t="s">
        <v>18</v>
      </c>
      <c r="E233" s="4" t="s">
        <v>28</v>
      </c>
      <c r="F233" s="4">
        <v>4</v>
      </c>
      <c r="G233" s="4">
        <v>6901</v>
      </c>
      <c r="H233" s="4">
        <v>10</v>
      </c>
      <c r="I233" s="5">
        <v>46047</v>
      </c>
      <c r="J233" s="5">
        <v>46057</v>
      </c>
      <c r="K233" s="6" t="s">
        <v>20</v>
      </c>
      <c r="L233" s="28">
        <f>F233*G233*(1-H233/100)</f>
        <v>24843.600000000002</v>
      </c>
    </row>
    <row r="234" spans="1:12" ht="15.6" x14ac:dyDescent="0.3">
      <c r="A234" s="3">
        <v>1364</v>
      </c>
      <c r="B234" s="4" t="s">
        <v>30</v>
      </c>
      <c r="C234" s="4" t="s">
        <v>22</v>
      </c>
      <c r="D234" s="4" t="s">
        <v>18</v>
      </c>
      <c r="E234" s="4" t="s">
        <v>56</v>
      </c>
      <c r="F234" s="4">
        <v>16</v>
      </c>
      <c r="G234" s="4">
        <v>1744</v>
      </c>
      <c r="H234" s="4">
        <v>15</v>
      </c>
      <c r="I234" s="5">
        <v>46031</v>
      </c>
      <c r="J234" s="5">
        <v>46033</v>
      </c>
      <c r="K234" s="6" t="s">
        <v>51</v>
      </c>
      <c r="L234" s="28">
        <f>F234*G234*(1-H234/100)</f>
        <v>23718.399999999998</v>
      </c>
    </row>
    <row r="235" spans="1:12" ht="15.6" x14ac:dyDescent="0.3">
      <c r="A235" s="3">
        <v>1246</v>
      </c>
      <c r="B235" s="4" t="s">
        <v>55</v>
      </c>
      <c r="C235" s="4" t="s">
        <v>22</v>
      </c>
      <c r="D235" s="4" t="s">
        <v>34</v>
      </c>
      <c r="E235" s="4" t="s">
        <v>35</v>
      </c>
      <c r="F235" s="4">
        <v>13</v>
      </c>
      <c r="G235" s="4">
        <v>1825</v>
      </c>
      <c r="H235" s="4">
        <v>2</v>
      </c>
      <c r="I235" s="5">
        <v>46039</v>
      </c>
      <c r="J235" s="5">
        <v>46045</v>
      </c>
      <c r="K235" s="6" t="s">
        <v>51</v>
      </c>
      <c r="L235" s="28">
        <f>F235*G235*(1-H235/100)</f>
        <v>23250.5</v>
      </c>
    </row>
    <row r="236" spans="1:12" ht="15.6" x14ac:dyDescent="0.3">
      <c r="A236" s="3">
        <v>1020</v>
      </c>
      <c r="B236" s="4" t="s">
        <v>46</v>
      </c>
      <c r="C236" s="4" t="s">
        <v>12</v>
      </c>
      <c r="D236" s="4" t="s">
        <v>18</v>
      </c>
      <c r="E236" s="4" t="s">
        <v>19</v>
      </c>
      <c r="F236" s="4">
        <v>5</v>
      </c>
      <c r="G236" s="4">
        <v>4582</v>
      </c>
      <c r="H236" s="4">
        <v>5</v>
      </c>
      <c r="I236" s="5">
        <v>46078</v>
      </c>
      <c r="J236" s="5">
        <v>46083</v>
      </c>
      <c r="K236" s="6" t="s">
        <v>15</v>
      </c>
      <c r="L236" s="28">
        <f>F236*G236*(1-H236/100)</f>
        <v>21764.5</v>
      </c>
    </row>
    <row r="237" spans="1:12" ht="15.6" x14ac:dyDescent="0.3">
      <c r="A237" s="3">
        <v>1239</v>
      </c>
      <c r="B237" s="4" t="s">
        <v>48</v>
      </c>
      <c r="C237" s="4" t="s">
        <v>17</v>
      </c>
      <c r="D237" s="4" t="s">
        <v>18</v>
      </c>
      <c r="E237" s="4" t="s">
        <v>56</v>
      </c>
      <c r="F237" s="4">
        <v>2</v>
      </c>
      <c r="G237" s="4">
        <v>12330</v>
      </c>
      <c r="H237" s="4">
        <v>12</v>
      </c>
      <c r="I237" s="5">
        <v>46122</v>
      </c>
      <c r="J237" s="5">
        <v>46125</v>
      </c>
      <c r="K237" s="6" t="s">
        <v>15</v>
      </c>
      <c r="L237" s="28">
        <f>F237*G237*(1-H237/100)</f>
        <v>21700.799999999999</v>
      </c>
    </row>
    <row r="238" spans="1:12" ht="15.6" x14ac:dyDescent="0.3">
      <c r="A238" s="3">
        <v>1116</v>
      </c>
      <c r="B238" s="4" t="s">
        <v>16</v>
      </c>
      <c r="C238" s="4" t="s">
        <v>25</v>
      </c>
      <c r="D238" s="4" t="s">
        <v>18</v>
      </c>
      <c r="E238" s="4" t="s">
        <v>56</v>
      </c>
      <c r="F238" s="4">
        <v>2</v>
      </c>
      <c r="G238" s="4">
        <v>12692</v>
      </c>
      <c r="H238" s="4">
        <v>15</v>
      </c>
      <c r="I238" s="5">
        <v>46049</v>
      </c>
      <c r="J238" s="5">
        <v>46051</v>
      </c>
      <c r="K238" s="6" t="s">
        <v>15</v>
      </c>
      <c r="L238" s="28">
        <f>F238*G238*(1-H238/100)</f>
        <v>21576.399999999998</v>
      </c>
    </row>
    <row r="239" spans="1:12" ht="15.6" x14ac:dyDescent="0.3">
      <c r="A239" s="3">
        <v>1222</v>
      </c>
      <c r="B239" s="4" t="s">
        <v>30</v>
      </c>
      <c r="C239" s="4" t="s">
        <v>33</v>
      </c>
      <c r="D239" s="4" t="s">
        <v>18</v>
      </c>
      <c r="E239" s="4" t="s">
        <v>23</v>
      </c>
      <c r="F239" s="4">
        <v>9</v>
      </c>
      <c r="G239" s="4">
        <v>2712</v>
      </c>
      <c r="H239" s="4">
        <v>12</v>
      </c>
      <c r="I239" s="5">
        <v>46154</v>
      </c>
      <c r="J239" s="5">
        <v>46163</v>
      </c>
      <c r="K239" s="6" t="s">
        <v>15</v>
      </c>
      <c r="L239" s="28">
        <f>F239*G239*(1-H239/100)</f>
        <v>21479.040000000001</v>
      </c>
    </row>
    <row r="240" spans="1:12" ht="15.6" x14ac:dyDescent="0.3">
      <c r="A240" s="3">
        <v>1123</v>
      </c>
      <c r="B240" s="4" t="s">
        <v>32</v>
      </c>
      <c r="C240" s="4" t="s">
        <v>31</v>
      </c>
      <c r="D240" s="4" t="s">
        <v>34</v>
      </c>
      <c r="E240" s="4" t="s">
        <v>45</v>
      </c>
      <c r="F240" s="4">
        <v>16</v>
      </c>
      <c r="G240" s="4">
        <v>1332</v>
      </c>
      <c r="H240" s="4">
        <v>7</v>
      </c>
      <c r="I240" s="5">
        <v>46107</v>
      </c>
      <c r="J240" s="5">
        <v>46109</v>
      </c>
      <c r="K240" s="6" t="s">
        <v>29</v>
      </c>
      <c r="L240" s="28">
        <f>F240*G240*(1-H240/100)</f>
        <v>19820.16</v>
      </c>
    </row>
    <row r="241" spans="1:12" ht="15.6" x14ac:dyDescent="0.3">
      <c r="A241" s="3">
        <v>1024</v>
      </c>
      <c r="B241" s="4" t="s">
        <v>32</v>
      </c>
      <c r="C241" s="4" t="s">
        <v>38</v>
      </c>
      <c r="D241" s="4" t="s">
        <v>34</v>
      </c>
      <c r="E241" s="4" t="s">
        <v>41</v>
      </c>
      <c r="F241" s="4">
        <v>12</v>
      </c>
      <c r="G241" s="4">
        <v>1682</v>
      </c>
      <c r="H241" s="4">
        <v>5</v>
      </c>
      <c r="I241" s="5">
        <v>46161</v>
      </c>
      <c r="J241" s="5">
        <v>46165</v>
      </c>
      <c r="K241" s="6" t="s">
        <v>15</v>
      </c>
      <c r="L241" s="28">
        <f>F241*G241*(1-H241/100)</f>
        <v>19174.8</v>
      </c>
    </row>
    <row r="242" spans="1:12" ht="15.6" x14ac:dyDescent="0.3">
      <c r="A242" s="3">
        <v>1230</v>
      </c>
      <c r="B242" s="4" t="s">
        <v>59</v>
      </c>
      <c r="C242" s="4" t="s">
        <v>33</v>
      </c>
      <c r="D242" s="4" t="s">
        <v>34</v>
      </c>
      <c r="E242" s="4" t="s">
        <v>60</v>
      </c>
      <c r="F242" s="4">
        <v>7</v>
      </c>
      <c r="G242" s="4">
        <v>2932</v>
      </c>
      <c r="H242" s="4">
        <v>7</v>
      </c>
      <c r="I242" s="5">
        <v>46050</v>
      </c>
      <c r="J242" s="5">
        <v>46059</v>
      </c>
      <c r="K242" s="6" t="s">
        <v>24</v>
      </c>
      <c r="L242" s="28">
        <f>F242*G242*(1-H242/100)</f>
        <v>19087.32</v>
      </c>
    </row>
    <row r="243" spans="1:12" ht="15.6" x14ac:dyDescent="0.3">
      <c r="A243" s="3">
        <v>1301</v>
      </c>
      <c r="B243" s="4" t="s">
        <v>54</v>
      </c>
      <c r="C243" s="4" t="s">
        <v>17</v>
      </c>
      <c r="D243" s="4" t="s">
        <v>18</v>
      </c>
      <c r="E243" s="4" t="s">
        <v>28</v>
      </c>
      <c r="F243" s="4">
        <v>3</v>
      </c>
      <c r="G243" s="4">
        <v>7020</v>
      </c>
      <c r="H243" s="4">
        <v>10</v>
      </c>
      <c r="I243" s="5">
        <v>46028</v>
      </c>
      <c r="J243" s="5">
        <v>46038</v>
      </c>
      <c r="K243" s="6" t="s">
        <v>24</v>
      </c>
      <c r="L243" s="28">
        <f>F243*G243*(1-H243/100)</f>
        <v>18954</v>
      </c>
    </row>
    <row r="244" spans="1:12" ht="15.6" x14ac:dyDescent="0.3">
      <c r="A244" s="3">
        <v>1227</v>
      </c>
      <c r="B244" s="4" t="s">
        <v>58</v>
      </c>
      <c r="C244" s="4" t="s">
        <v>22</v>
      </c>
      <c r="D244" s="4" t="s">
        <v>34</v>
      </c>
      <c r="E244" s="4" t="s">
        <v>45</v>
      </c>
      <c r="F244" s="4">
        <v>16</v>
      </c>
      <c r="G244" s="4">
        <v>1321</v>
      </c>
      <c r="H244" s="4">
        <v>12</v>
      </c>
      <c r="I244" s="5">
        <v>46113</v>
      </c>
      <c r="J244" s="5">
        <v>46116</v>
      </c>
      <c r="K244" s="6" t="s">
        <v>15</v>
      </c>
      <c r="L244" s="28">
        <f>F244*G244*(1-H244/100)</f>
        <v>18599.68</v>
      </c>
    </row>
    <row r="245" spans="1:12" ht="15.6" x14ac:dyDescent="0.3">
      <c r="A245" s="3">
        <v>1371</v>
      </c>
      <c r="B245" s="4" t="s">
        <v>48</v>
      </c>
      <c r="C245" s="4" t="s">
        <v>38</v>
      </c>
      <c r="D245" s="4" t="s">
        <v>18</v>
      </c>
      <c r="E245" s="4" t="s">
        <v>19</v>
      </c>
      <c r="F245" s="4">
        <v>19</v>
      </c>
      <c r="G245" s="4">
        <v>1087</v>
      </c>
      <c r="H245" s="4">
        <v>15</v>
      </c>
      <c r="I245" s="5">
        <v>46072</v>
      </c>
      <c r="J245" s="5">
        <v>46082</v>
      </c>
      <c r="K245" s="6" t="s">
        <v>20</v>
      </c>
      <c r="L245" s="28">
        <f>F245*G245*(1-H245/100)</f>
        <v>17555.05</v>
      </c>
    </row>
    <row r="246" spans="1:12" ht="15.6" x14ac:dyDescent="0.3">
      <c r="A246" s="3">
        <v>1220</v>
      </c>
      <c r="B246" s="4" t="s">
        <v>11</v>
      </c>
      <c r="C246" s="4" t="s">
        <v>25</v>
      </c>
      <c r="D246" s="4" t="s">
        <v>18</v>
      </c>
      <c r="E246" s="4" t="s">
        <v>56</v>
      </c>
      <c r="F246" s="4">
        <v>2</v>
      </c>
      <c r="G246" s="4">
        <v>8861</v>
      </c>
      <c r="H246" s="4">
        <v>2</v>
      </c>
      <c r="I246" s="5">
        <v>46170</v>
      </c>
      <c r="J246" s="5">
        <v>46174</v>
      </c>
      <c r="K246" s="6" t="s">
        <v>24</v>
      </c>
      <c r="L246" s="28">
        <f>F246*G246*(1-H246/100)</f>
        <v>17367.560000000001</v>
      </c>
    </row>
    <row r="247" spans="1:12" ht="15.6" x14ac:dyDescent="0.3">
      <c r="A247" s="3">
        <v>1262</v>
      </c>
      <c r="B247" s="4" t="s">
        <v>16</v>
      </c>
      <c r="C247" s="4" t="s">
        <v>22</v>
      </c>
      <c r="D247" s="4" t="s">
        <v>18</v>
      </c>
      <c r="E247" s="4" t="s">
        <v>28</v>
      </c>
      <c r="F247" s="4">
        <v>9</v>
      </c>
      <c r="G247" s="4">
        <v>2231</v>
      </c>
      <c r="H247" s="4">
        <v>15</v>
      </c>
      <c r="I247" s="5">
        <v>46174</v>
      </c>
      <c r="J247" s="5">
        <v>46183</v>
      </c>
      <c r="K247" s="6" t="s">
        <v>15</v>
      </c>
      <c r="L247" s="28">
        <f>F247*G247*(1-H247/100)</f>
        <v>17067.149999999998</v>
      </c>
    </row>
    <row r="248" spans="1:12" ht="15.6" x14ac:dyDescent="0.3">
      <c r="A248" s="3">
        <v>1211</v>
      </c>
      <c r="B248" s="4" t="s">
        <v>48</v>
      </c>
      <c r="C248" s="4" t="s">
        <v>17</v>
      </c>
      <c r="D248" s="4" t="s">
        <v>34</v>
      </c>
      <c r="E248" s="4" t="s">
        <v>35</v>
      </c>
      <c r="F248" s="4">
        <v>3</v>
      </c>
      <c r="G248" s="4">
        <v>5962</v>
      </c>
      <c r="H248" s="4">
        <v>7</v>
      </c>
      <c r="I248" s="5">
        <v>46175</v>
      </c>
      <c r="J248" s="5">
        <v>46183</v>
      </c>
      <c r="K248" s="6" t="s">
        <v>15</v>
      </c>
      <c r="L248" s="28">
        <f>F248*G248*(1-H248/100)</f>
        <v>16633.98</v>
      </c>
    </row>
    <row r="249" spans="1:12" ht="15.6" x14ac:dyDescent="0.3">
      <c r="A249" s="3">
        <v>1057</v>
      </c>
      <c r="B249" s="4" t="s">
        <v>59</v>
      </c>
      <c r="C249" s="4" t="s">
        <v>22</v>
      </c>
      <c r="D249" s="4" t="s">
        <v>18</v>
      </c>
      <c r="E249" s="4" t="s">
        <v>28</v>
      </c>
      <c r="F249" s="4">
        <v>2</v>
      </c>
      <c r="G249" s="4">
        <v>9531</v>
      </c>
      <c r="H249" s="4">
        <v>15</v>
      </c>
      <c r="I249" s="5">
        <v>46067</v>
      </c>
      <c r="J249" s="5">
        <v>46076</v>
      </c>
      <c r="K249" s="6" t="s">
        <v>51</v>
      </c>
      <c r="L249" s="28">
        <f>F249*G249*(1-H249/100)</f>
        <v>16202.699999999999</v>
      </c>
    </row>
    <row r="250" spans="1:12" ht="15.6" x14ac:dyDescent="0.3">
      <c r="A250" s="3">
        <v>1351</v>
      </c>
      <c r="B250" s="4" t="s">
        <v>42</v>
      </c>
      <c r="C250" s="4" t="s">
        <v>33</v>
      </c>
      <c r="D250" s="4" t="s">
        <v>34</v>
      </c>
      <c r="E250" s="4" t="s">
        <v>45</v>
      </c>
      <c r="F250" s="4">
        <v>12</v>
      </c>
      <c r="G250" s="4">
        <v>1272</v>
      </c>
      <c r="H250" s="4">
        <v>0</v>
      </c>
      <c r="I250" s="5">
        <v>46026</v>
      </c>
      <c r="J250" s="5">
        <v>46029</v>
      </c>
      <c r="K250" s="6" t="s">
        <v>15</v>
      </c>
      <c r="L250" s="28">
        <f>F250*G250*(1-H250/100)</f>
        <v>15264</v>
      </c>
    </row>
    <row r="251" spans="1:12" ht="15.6" x14ac:dyDescent="0.3">
      <c r="A251" s="3">
        <v>1263</v>
      </c>
      <c r="B251" s="4" t="s">
        <v>29</v>
      </c>
      <c r="C251" s="4" t="s">
        <v>38</v>
      </c>
      <c r="D251" s="4" t="s">
        <v>18</v>
      </c>
      <c r="E251" s="4" t="s">
        <v>28</v>
      </c>
      <c r="F251" s="4">
        <v>10</v>
      </c>
      <c r="G251" s="4">
        <v>1505</v>
      </c>
      <c r="H251" s="4">
        <v>0</v>
      </c>
      <c r="I251" s="5">
        <v>46130</v>
      </c>
      <c r="J251" s="5">
        <v>46138</v>
      </c>
      <c r="K251" s="6" t="s">
        <v>51</v>
      </c>
      <c r="L251" s="28">
        <f>F251*G251*(1-H251/100)</f>
        <v>15050</v>
      </c>
    </row>
    <row r="252" spans="1:12" ht="15.6" x14ac:dyDescent="0.3">
      <c r="A252" s="3">
        <v>1377</v>
      </c>
      <c r="B252" s="4" t="s">
        <v>32</v>
      </c>
      <c r="C252" s="4" t="s">
        <v>38</v>
      </c>
      <c r="D252" s="4" t="s">
        <v>18</v>
      </c>
      <c r="E252" s="4" t="s">
        <v>19</v>
      </c>
      <c r="F252" s="4">
        <v>3</v>
      </c>
      <c r="G252" s="4">
        <v>5480</v>
      </c>
      <c r="H252" s="4">
        <v>12</v>
      </c>
      <c r="I252" s="5">
        <v>46105</v>
      </c>
      <c r="J252" s="5">
        <v>46111</v>
      </c>
      <c r="K252" s="6" t="s">
        <v>24</v>
      </c>
      <c r="L252" s="28">
        <f>F252*G252*(1-H252/100)</f>
        <v>14467.2</v>
      </c>
    </row>
    <row r="253" spans="1:12" ht="15.6" x14ac:dyDescent="0.3">
      <c r="A253" s="3">
        <v>1234</v>
      </c>
      <c r="B253" s="4" t="s">
        <v>11</v>
      </c>
      <c r="C253" s="4" t="s">
        <v>25</v>
      </c>
      <c r="D253" s="4" t="s">
        <v>18</v>
      </c>
      <c r="E253" s="4" t="s">
        <v>28</v>
      </c>
      <c r="F253" s="4">
        <v>1</v>
      </c>
      <c r="G253" s="4">
        <v>14320</v>
      </c>
      <c r="H253" s="4">
        <v>12</v>
      </c>
      <c r="I253" s="5">
        <v>46114</v>
      </c>
      <c r="J253" s="5">
        <v>46121</v>
      </c>
      <c r="K253" s="6" t="s">
        <v>51</v>
      </c>
      <c r="L253" s="28">
        <f>F253*G253*(1-H253/100)</f>
        <v>12601.6</v>
      </c>
    </row>
    <row r="254" spans="1:12" ht="15.6" x14ac:dyDescent="0.3">
      <c r="A254" s="3">
        <v>1241</v>
      </c>
      <c r="B254" s="4" t="s">
        <v>46</v>
      </c>
      <c r="C254" s="4" t="s">
        <v>31</v>
      </c>
      <c r="D254" s="4" t="s">
        <v>18</v>
      </c>
      <c r="E254" s="4" t="s">
        <v>44</v>
      </c>
      <c r="F254" s="4">
        <v>1</v>
      </c>
      <c r="G254" s="4">
        <v>12537</v>
      </c>
      <c r="H254" s="4">
        <v>0</v>
      </c>
      <c r="I254" s="5">
        <v>46119</v>
      </c>
      <c r="J254" s="5">
        <v>46122</v>
      </c>
      <c r="K254" s="6" t="s">
        <v>15</v>
      </c>
      <c r="L254" s="28">
        <f>F254*G254*(1-H254/100)</f>
        <v>12537</v>
      </c>
    </row>
    <row r="255" spans="1:12" ht="15.6" x14ac:dyDescent="0.3">
      <c r="A255" s="3">
        <v>1335</v>
      </c>
      <c r="B255" s="4" t="s">
        <v>47</v>
      </c>
      <c r="C255" s="4" t="s">
        <v>17</v>
      </c>
      <c r="D255" s="4" t="s">
        <v>18</v>
      </c>
      <c r="E255" s="4" t="s">
        <v>19</v>
      </c>
      <c r="F255" s="4">
        <v>9</v>
      </c>
      <c r="G255" s="4">
        <v>1495</v>
      </c>
      <c r="H255" s="4">
        <v>12</v>
      </c>
      <c r="I255" s="5">
        <v>46168</v>
      </c>
      <c r="J255" s="5">
        <v>46173</v>
      </c>
      <c r="K255" s="6" t="s">
        <v>15</v>
      </c>
      <c r="L255" s="28">
        <f>F255*G255*(1-H255/100)</f>
        <v>11840.4</v>
      </c>
    </row>
    <row r="256" spans="1:12" ht="15.6" x14ac:dyDescent="0.3">
      <c r="A256" s="3">
        <v>1286</v>
      </c>
      <c r="B256" s="4" t="s">
        <v>46</v>
      </c>
      <c r="C256" s="4" t="s">
        <v>17</v>
      </c>
      <c r="D256" s="4" t="s">
        <v>18</v>
      </c>
      <c r="E256" s="4" t="s">
        <v>56</v>
      </c>
      <c r="F256" s="4">
        <v>9</v>
      </c>
      <c r="G256" s="4">
        <v>1340</v>
      </c>
      <c r="H256" s="4">
        <v>2</v>
      </c>
      <c r="I256" s="5">
        <v>46168</v>
      </c>
      <c r="J256" s="5">
        <v>46173</v>
      </c>
      <c r="K256" s="6" t="s">
        <v>15</v>
      </c>
      <c r="L256" s="28">
        <f>F256*G256*(1-H256/100)</f>
        <v>11818.8</v>
      </c>
    </row>
    <row r="257" spans="1:12" ht="15.6" x14ac:dyDescent="0.3">
      <c r="A257" s="3">
        <v>1112</v>
      </c>
      <c r="B257" s="4" t="s">
        <v>21</v>
      </c>
      <c r="C257" s="4" t="s">
        <v>43</v>
      </c>
      <c r="D257" s="4" t="s">
        <v>18</v>
      </c>
      <c r="E257" s="4" t="s">
        <v>44</v>
      </c>
      <c r="F257" s="4">
        <v>7</v>
      </c>
      <c r="G257" s="4">
        <v>1959</v>
      </c>
      <c r="H257" s="4">
        <v>15</v>
      </c>
      <c r="I257" s="5">
        <v>46090</v>
      </c>
      <c r="J257" s="5">
        <v>46100</v>
      </c>
      <c r="K257" s="6" t="s">
        <v>15</v>
      </c>
      <c r="L257" s="28">
        <f>F257*G257*(1-H257/100)</f>
        <v>11656.05</v>
      </c>
    </row>
    <row r="258" spans="1:12" ht="15.6" x14ac:dyDescent="0.3">
      <c r="A258" s="3">
        <v>1276</v>
      </c>
      <c r="B258" s="4" t="s">
        <v>40</v>
      </c>
      <c r="C258" s="4" t="s">
        <v>12</v>
      </c>
      <c r="D258" s="4" t="s">
        <v>18</v>
      </c>
      <c r="E258" s="4" t="s">
        <v>19</v>
      </c>
      <c r="F258" s="4">
        <v>1</v>
      </c>
      <c r="G258" s="4">
        <v>13437</v>
      </c>
      <c r="H258" s="4">
        <v>15</v>
      </c>
      <c r="I258" s="5">
        <v>46097</v>
      </c>
      <c r="J258" s="5">
        <v>46099</v>
      </c>
      <c r="K258" s="6" t="s">
        <v>24</v>
      </c>
      <c r="L258" s="28">
        <f>F258*G258*(1-H258/100)</f>
        <v>11421.449999999999</v>
      </c>
    </row>
    <row r="259" spans="1:12" ht="15.6" x14ac:dyDescent="0.3">
      <c r="A259" s="3">
        <v>1240</v>
      </c>
      <c r="B259" s="4" t="s">
        <v>55</v>
      </c>
      <c r="C259" s="4" t="s">
        <v>33</v>
      </c>
      <c r="D259" s="4" t="s">
        <v>18</v>
      </c>
      <c r="E259" s="4" t="s">
        <v>23</v>
      </c>
      <c r="F259" s="4">
        <v>2</v>
      </c>
      <c r="G259" s="4">
        <v>5475</v>
      </c>
      <c r="H259" s="4">
        <v>2</v>
      </c>
      <c r="I259" s="5">
        <v>46142</v>
      </c>
      <c r="J259" s="5">
        <v>46146</v>
      </c>
      <c r="K259" s="6" t="s">
        <v>29</v>
      </c>
      <c r="L259" s="28">
        <f>F259*G259*(1-H259/100)</f>
        <v>10731</v>
      </c>
    </row>
    <row r="260" spans="1:12" ht="15.6" x14ac:dyDescent="0.3">
      <c r="A260" s="3">
        <v>1362</v>
      </c>
      <c r="B260" s="4" t="s">
        <v>16</v>
      </c>
      <c r="C260" s="4" t="s">
        <v>12</v>
      </c>
      <c r="D260" s="4" t="s">
        <v>18</v>
      </c>
      <c r="E260" s="4" t="s">
        <v>28</v>
      </c>
      <c r="F260" s="4">
        <v>1</v>
      </c>
      <c r="G260" s="4">
        <v>10474</v>
      </c>
      <c r="H260" s="4">
        <v>0</v>
      </c>
      <c r="I260" s="5">
        <v>46094</v>
      </c>
      <c r="J260" s="5">
        <v>46096</v>
      </c>
      <c r="K260" s="6" t="s">
        <v>29</v>
      </c>
      <c r="L260" s="28">
        <f>F260*G260*(1-H260/100)</f>
        <v>10474</v>
      </c>
    </row>
    <row r="261" spans="1:12" ht="15.6" x14ac:dyDescent="0.3">
      <c r="A261" s="3">
        <v>1095</v>
      </c>
      <c r="B261" s="4" t="s">
        <v>47</v>
      </c>
      <c r="C261" s="4" t="s">
        <v>25</v>
      </c>
      <c r="D261" s="4" t="s">
        <v>34</v>
      </c>
      <c r="E261" s="4" t="s">
        <v>41</v>
      </c>
      <c r="F261" s="4">
        <v>18</v>
      </c>
      <c r="G261" s="4">
        <v>587</v>
      </c>
      <c r="H261" s="4">
        <v>2</v>
      </c>
      <c r="I261" s="5">
        <v>46167</v>
      </c>
      <c r="J261" s="5">
        <v>46171</v>
      </c>
      <c r="K261" s="6" t="s">
        <v>20</v>
      </c>
      <c r="L261" s="28">
        <f>F261*G261*(1-H261/100)</f>
        <v>10354.68</v>
      </c>
    </row>
    <row r="262" spans="1:12" ht="15.6" x14ac:dyDescent="0.3">
      <c r="A262" s="3">
        <v>1258</v>
      </c>
      <c r="B262" s="4" t="s">
        <v>32</v>
      </c>
      <c r="C262" s="4" t="s">
        <v>31</v>
      </c>
      <c r="D262" s="4" t="s">
        <v>34</v>
      </c>
      <c r="E262" s="4" t="s">
        <v>60</v>
      </c>
      <c r="F262" s="4">
        <v>1</v>
      </c>
      <c r="G262" s="4">
        <v>10600</v>
      </c>
      <c r="H262" s="4">
        <v>5</v>
      </c>
      <c r="I262" s="5">
        <v>46137</v>
      </c>
      <c r="J262" s="5">
        <v>46138</v>
      </c>
      <c r="K262" s="6" t="s">
        <v>29</v>
      </c>
      <c r="L262" s="28">
        <f>F262*G262*(1-H262/100)</f>
        <v>10070</v>
      </c>
    </row>
    <row r="263" spans="1:12" ht="15.6" x14ac:dyDescent="0.3">
      <c r="A263" s="3">
        <v>1073</v>
      </c>
      <c r="B263" s="4" t="s">
        <v>58</v>
      </c>
      <c r="C263" s="4" t="s">
        <v>17</v>
      </c>
      <c r="D263" s="4" t="s">
        <v>18</v>
      </c>
      <c r="E263" s="4" t="s">
        <v>56</v>
      </c>
      <c r="F263" s="4">
        <v>4</v>
      </c>
      <c r="G263" s="4">
        <v>2453</v>
      </c>
      <c r="H263" s="4">
        <v>7</v>
      </c>
      <c r="I263" s="5">
        <v>46126</v>
      </c>
      <c r="J263" s="5">
        <v>46129</v>
      </c>
      <c r="K263" s="6" t="s">
        <v>51</v>
      </c>
      <c r="L263" s="28">
        <f>F263*G263*(1-H263/100)</f>
        <v>9125.16</v>
      </c>
    </row>
    <row r="264" spans="1:12" ht="15.6" x14ac:dyDescent="0.3">
      <c r="A264" s="3">
        <v>1397</v>
      </c>
      <c r="B264" s="4" t="s">
        <v>21</v>
      </c>
      <c r="C264" s="4" t="s">
        <v>33</v>
      </c>
      <c r="D264" s="4" t="s">
        <v>18</v>
      </c>
      <c r="E264" s="4" t="s">
        <v>23</v>
      </c>
      <c r="F264" s="4">
        <v>1</v>
      </c>
      <c r="G264" s="4">
        <v>8948</v>
      </c>
      <c r="H264" s="4">
        <v>5</v>
      </c>
      <c r="I264" s="5">
        <v>46194</v>
      </c>
      <c r="J264" s="5">
        <v>46201</v>
      </c>
      <c r="K264" s="6" t="s">
        <v>51</v>
      </c>
      <c r="L264" s="28">
        <f>F264*G264*(1-H264/100)</f>
        <v>8500.6</v>
      </c>
    </row>
    <row r="265" spans="1:12" ht="15.6" x14ac:dyDescent="0.3">
      <c r="A265" s="3">
        <v>1223</v>
      </c>
      <c r="B265" s="4" t="s">
        <v>59</v>
      </c>
      <c r="C265" s="4" t="s">
        <v>17</v>
      </c>
      <c r="D265" s="4" t="s">
        <v>18</v>
      </c>
      <c r="E265" s="4" t="s">
        <v>23</v>
      </c>
      <c r="F265" s="4">
        <v>4</v>
      </c>
      <c r="G265" s="4">
        <v>2249</v>
      </c>
      <c r="H265" s="4">
        <v>7</v>
      </c>
      <c r="I265" s="5">
        <v>46077</v>
      </c>
      <c r="J265" s="5">
        <v>46084</v>
      </c>
      <c r="K265" s="6" t="s">
        <v>15</v>
      </c>
      <c r="L265" s="28">
        <f>F265*G265*(1-H265/100)</f>
        <v>8366.2799999999988</v>
      </c>
    </row>
    <row r="266" spans="1:12" ht="15.6" x14ac:dyDescent="0.3">
      <c r="A266" s="3">
        <v>1053</v>
      </c>
      <c r="B266" s="4" t="s">
        <v>16</v>
      </c>
      <c r="C266" s="4" t="s">
        <v>33</v>
      </c>
      <c r="D266" s="4" t="s">
        <v>18</v>
      </c>
      <c r="E266" s="4" t="s">
        <v>28</v>
      </c>
      <c r="F266" s="4">
        <v>1</v>
      </c>
      <c r="G266" s="4">
        <v>9749</v>
      </c>
      <c r="H266" s="4">
        <v>15</v>
      </c>
      <c r="I266" s="5">
        <v>46064</v>
      </c>
      <c r="J266" s="5">
        <v>46070</v>
      </c>
      <c r="K266" s="6" t="s">
        <v>24</v>
      </c>
      <c r="L266" s="28">
        <f>F266*G266*(1-H266/100)</f>
        <v>8286.65</v>
      </c>
    </row>
    <row r="267" spans="1:12" ht="15.6" x14ac:dyDescent="0.3">
      <c r="A267" s="3">
        <v>1376</v>
      </c>
      <c r="B267" s="4" t="s">
        <v>52</v>
      </c>
      <c r="C267" s="4" t="s">
        <v>31</v>
      </c>
      <c r="D267" s="4" t="s">
        <v>13</v>
      </c>
      <c r="E267" s="4" t="s">
        <v>50</v>
      </c>
      <c r="F267" s="4">
        <v>20</v>
      </c>
      <c r="G267" s="4">
        <v>429</v>
      </c>
      <c r="H267" s="4">
        <v>5</v>
      </c>
      <c r="I267" s="5">
        <v>46178</v>
      </c>
      <c r="J267" s="5">
        <v>46184</v>
      </c>
      <c r="K267" s="6" t="s">
        <v>20</v>
      </c>
      <c r="L267" s="28">
        <f>F267*G267*(1-H267/100)</f>
        <v>8151</v>
      </c>
    </row>
    <row r="268" spans="1:12" ht="15.6" x14ac:dyDescent="0.3">
      <c r="A268" s="3">
        <v>1199</v>
      </c>
      <c r="B268" s="4" t="s">
        <v>11</v>
      </c>
      <c r="C268" s="4" t="s">
        <v>25</v>
      </c>
      <c r="D268" s="4" t="s">
        <v>34</v>
      </c>
      <c r="E268" s="4" t="s">
        <v>45</v>
      </c>
      <c r="F268" s="4">
        <v>2</v>
      </c>
      <c r="G268" s="4">
        <v>4375</v>
      </c>
      <c r="H268" s="4">
        <v>7</v>
      </c>
      <c r="I268" s="5">
        <v>46178</v>
      </c>
      <c r="J268" s="5">
        <v>46180</v>
      </c>
      <c r="K268" s="6" t="s">
        <v>24</v>
      </c>
      <c r="L268" s="28">
        <f>F268*G268*(1-H268/100)</f>
        <v>8137.4999999999991</v>
      </c>
    </row>
    <row r="269" spans="1:12" ht="15.6" x14ac:dyDescent="0.3">
      <c r="A269" s="3">
        <v>1006</v>
      </c>
      <c r="B269" s="4" t="s">
        <v>27</v>
      </c>
      <c r="C269" s="4" t="s">
        <v>25</v>
      </c>
      <c r="D269" s="4" t="s">
        <v>18</v>
      </c>
      <c r="E269" s="4" t="s">
        <v>28</v>
      </c>
      <c r="F269" s="4">
        <v>3</v>
      </c>
      <c r="G269" s="4">
        <v>2714</v>
      </c>
      <c r="H269" s="4">
        <v>5</v>
      </c>
      <c r="I269" s="5">
        <v>46055</v>
      </c>
      <c r="J269" s="5">
        <v>46062</v>
      </c>
      <c r="K269" s="6" t="s">
        <v>29</v>
      </c>
      <c r="L269" s="28">
        <f>F269*G269*(1-H269/100)</f>
        <v>7734.9</v>
      </c>
    </row>
    <row r="270" spans="1:12" ht="15.6" x14ac:dyDescent="0.3">
      <c r="A270" s="3">
        <v>1275</v>
      </c>
      <c r="B270" s="4" t="s">
        <v>16</v>
      </c>
      <c r="C270" s="4" t="s">
        <v>31</v>
      </c>
      <c r="D270" s="4" t="s">
        <v>13</v>
      </c>
      <c r="E270" s="4" t="s">
        <v>50</v>
      </c>
      <c r="F270" s="4">
        <v>20</v>
      </c>
      <c r="G270" s="4">
        <v>451</v>
      </c>
      <c r="H270" s="4">
        <v>15</v>
      </c>
      <c r="I270" s="5">
        <v>46092</v>
      </c>
      <c r="J270" s="5">
        <v>46094</v>
      </c>
      <c r="K270" s="6" t="s">
        <v>20</v>
      </c>
      <c r="L270" s="28">
        <f>F270*G270*(1-H270/100)</f>
        <v>7667</v>
      </c>
    </row>
    <row r="271" spans="1:12" ht="15.6" x14ac:dyDescent="0.3">
      <c r="A271" s="3">
        <v>1029</v>
      </c>
      <c r="B271" s="4" t="s">
        <v>30</v>
      </c>
      <c r="C271" s="4" t="s">
        <v>25</v>
      </c>
      <c r="D271" s="4" t="s">
        <v>13</v>
      </c>
      <c r="E271" s="4" t="s">
        <v>36</v>
      </c>
      <c r="F271" s="4">
        <v>18</v>
      </c>
      <c r="G271" s="4">
        <v>443</v>
      </c>
      <c r="H271" s="4">
        <v>5</v>
      </c>
      <c r="I271" s="5">
        <v>46046</v>
      </c>
      <c r="J271" s="5">
        <v>46054</v>
      </c>
      <c r="K271" s="6" t="s">
        <v>24</v>
      </c>
      <c r="L271" s="28">
        <f>F271*G271*(1-H271/100)</f>
        <v>7575.2999999999993</v>
      </c>
    </row>
    <row r="272" spans="1:12" ht="15.6" x14ac:dyDescent="0.3">
      <c r="A272" s="3">
        <v>1215</v>
      </c>
      <c r="B272" s="4" t="s">
        <v>27</v>
      </c>
      <c r="C272" s="4" t="s">
        <v>12</v>
      </c>
      <c r="D272" s="4" t="s">
        <v>18</v>
      </c>
      <c r="E272" s="4" t="s">
        <v>28</v>
      </c>
      <c r="F272" s="4">
        <v>6</v>
      </c>
      <c r="G272" s="4">
        <v>1254</v>
      </c>
      <c r="H272" s="4">
        <v>0</v>
      </c>
      <c r="I272" s="5">
        <v>46131</v>
      </c>
      <c r="J272" s="5">
        <v>46136</v>
      </c>
      <c r="K272" s="6" t="s">
        <v>29</v>
      </c>
      <c r="L272" s="28">
        <f>F272*G272*(1-H272/100)</f>
        <v>7524</v>
      </c>
    </row>
    <row r="273" spans="1:12" ht="15.6" x14ac:dyDescent="0.3">
      <c r="A273" s="3">
        <v>1065</v>
      </c>
      <c r="B273" s="4" t="s">
        <v>42</v>
      </c>
      <c r="C273" s="4" t="s">
        <v>43</v>
      </c>
      <c r="D273" s="4" t="s">
        <v>18</v>
      </c>
      <c r="E273" s="4" t="s">
        <v>44</v>
      </c>
      <c r="F273" s="4">
        <v>1</v>
      </c>
      <c r="G273" s="4">
        <v>7730</v>
      </c>
      <c r="H273" s="4">
        <v>5</v>
      </c>
      <c r="I273" s="5">
        <v>46192</v>
      </c>
      <c r="J273" s="5">
        <v>46195</v>
      </c>
      <c r="K273" s="6" t="s">
        <v>51</v>
      </c>
      <c r="L273" s="28">
        <f>F273*G273*(1-H273/100)</f>
        <v>7343.5</v>
      </c>
    </row>
    <row r="274" spans="1:12" ht="15.6" x14ac:dyDescent="0.3">
      <c r="A274" s="3">
        <v>1333</v>
      </c>
      <c r="B274" s="4" t="s">
        <v>29</v>
      </c>
      <c r="C274" s="4" t="s">
        <v>38</v>
      </c>
      <c r="D274" s="4" t="s">
        <v>13</v>
      </c>
      <c r="E274" s="4" t="s">
        <v>53</v>
      </c>
      <c r="F274" s="4">
        <v>20</v>
      </c>
      <c r="G274" s="4">
        <v>416</v>
      </c>
      <c r="H274" s="4">
        <v>12</v>
      </c>
      <c r="I274" s="5">
        <v>46145</v>
      </c>
      <c r="J274" s="5">
        <v>46146</v>
      </c>
      <c r="K274" s="6" t="s">
        <v>51</v>
      </c>
      <c r="L274" s="28">
        <f>F274*G274*(1-H274/100)</f>
        <v>7321.6</v>
      </c>
    </row>
    <row r="275" spans="1:12" ht="15.6" x14ac:dyDescent="0.3">
      <c r="A275" s="3">
        <v>1256</v>
      </c>
      <c r="B275" s="4" t="s">
        <v>48</v>
      </c>
      <c r="C275" s="4" t="s">
        <v>31</v>
      </c>
      <c r="D275" s="4" t="s">
        <v>13</v>
      </c>
      <c r="E275" s="4" t="s">
        <v>50</v>
      </c>
      <c r="F275" s="4">
        <v>19</v>
      </c>
      <c r="G275" s="4">
        <v>406</v>
      </c>
      <c r="H275" s="4">
        <v>7</v>
      </c>
      <c r="I275" s="5">
        <v>46057</v>
      </c>
      <c r="J275" s="5">
        <v>46061</v>
      </c>
      <c r="K275" s="6" t="s">
        <v>15</v>
      </c>
      <c r="L275" s="28">
        <f>F275*G275*(1-H275/100)</f>
        <v>7174.0199999999995</v>
      </c>
    </row>
    <row r="276" spans="1:12" ht="15.6" x14ac:dyDescent="0.3">
      <c r="A276" s="3">
        <v>1119</v>
      </c>
      <c r="B276" s="4" t="s">
        <v>30</v>
      </c>
      <c r="C276" s="4" t="s">
        <v>43</v>
      </c>
      <c r="D276" s="4" t="s">
        <v>18</v>
      </c>
      <c r="E276" s="4" t="s">
        <v>28</v>
      </c>
      <c r="F276" s="4">
        <v>2</v>
      </c>
      <c r="G276" s="4">
        <v>3706</v>
      </c>
      <c r="H276" s="4">
        <v>5</v>
      </c>
      <c r="I276" s="5">
        <v>46184</v>
      </c>
      <c r="J276" s="5">
        <v>46192</v>
      </c>
      <c r="K276" s="6" t="s">
        <v>51</v>
      </c>
      <c r="L276" s="28">
        <f>F276*G276*(1-H276/100)</f>
        <v>7041.4</v>
      </c>
    </row>
    <row r="277" spans="1:12" ht="15.6" x14ac:dyDescent="0.3">
      <c r="A277" s="3">
        <v>1013</v>
      </c>
      <c r="B277" s="4" t="s">
        <v>16</v>
      </c>
      <c r="C277" s="4" t="s">
        <v>31</v>
      </c>
      <c r="D277" s="4" t="s">
        <v>13</v>
      </c>
      <c r="E277" s="4" t="s">
        <v>36</v>
      </c>
      <c r="F277" s="4">
        <v>17</v>
      </c>
      <c r="G277" s="4">
        <v>459</v>
      </c>
      <c r="H277" s="4">
        <v>12</v>
      </c>
      <c r="I277" s="5">
        <v>46095</v>
      </c>
      <c r="J277" s="5">
        <v>46105</v>
      </c>
      <c r="K277" s="6" t="s">
        <v>29</v>
      </c>
      <c r="L277" s="28">
        <f>F277*G277*(1-H277/100)</f>
        <v>6866.64</v>
      </c>
    </row>
    <row r="278" spans="1:12" ht="15.6" x14ac:dyDescent="0.3">
      <c r="A278" s="3">
        <v>1283</v>
      </c>
      <c r="B278" s="4" t="s">
        <v>40</v>
      </c>
      <c r="C278" s="4" t="s">
        <v>12</v>
      </c>
      <c r="D278" s="4" t="s">
        <v>18</v>
      </c>
      <c r="E278" s="4" t="s">
        <v>23</v>
      </c>
      <c r="F278" s="4">
        <v>6</v>
      </c>
      <c r="G278" s="4">
        <v>1167</v>
      </c>
      <c r="H278" s="4">
        <v>2</v>
      </c>
      <c r="I278" s="5">
        <v>46100</v>
      </c>
      <c r="J278" s="5">
        <v>46106</v>
      </c>
      <c r="K278" s="6" t="s">
        <v>15</v>
      </c>
      <c r="L278" s="28">
        <f>F278*G278*(1-H278/100)</f>
        <v>6861.96</v>
      </c>
    </row>
    <row r="279" spans="1:12" ht="15.6" x14ac:dyDescent="0.3">
      <c r="A279" s="3">
        <v>1304</v>
      </c>
      <c r="B279" s="4" t="s">
        <v>59</v>
      </c>
      <c r="C279" s="4" t="s">
        <v>25</v>
      </c>
      <c r="D279" s="4" t="s">
        <v>13</v>
      </c>
      <c r="E279" s="4" t="s">
        <v>36</v>
      </c>
      <c r="F279" s="4">
        <v>20</v>
      </c>
      <c r="G279" s="4">
        <v>368</v>
      </c>
      <c r="H279" s="4">
        <v>7</v>
      </c>
      <c r="I279" s="5">
        <v>46042</v>
      </c>
      <c r="J279" s="5">
        <v>46051</v>
      </c>
      <c r="K279" s="6" t="s">
        <v>51</v>
      </c>
      <c r="L279" s="28">
        <f>F279*G279*(1-H279/100)</f>
        <v>6844.7999999999993</v>
      </c>
    </row>
    <row r="280" spans="1:12" ht="15.6" x14ac:dyDescent="0.3">
      <c r="A280" s="3">
        <v>1254</v>
      </c>
      <c r="B280" s="4" t="s">
        <v>52</v>
      </c>
      <c r="C280" s="4" t="s">
        <v>22</v>
      </c>
      <c r="D280" s="4" t="s">
        <v>13</v>
      </c>
      <c r="E280" s="4" t="s">
        <v>50</v>
      </c>
      <c r="F280" s="4">
        <v>18</v>
      </c>
      <c r="G280" s="4">
        <v>447</v>
      </c>
      <c r="H280" s="4">
        <v>15</v>
      </c>
      <c r="I280" s="5">
        <v>46141</v>
      </c>
      <c r="J280" s="5">
        <v>46149</v>
      </c>
      <c r="K280" s="6" t="s">
        <v>24</v>
      </c>
      <c r="L280" s="28">
        <f>F280*G280*(1-H280/100)</f>
        <v>6839.0999999999995</v>
      </c>
    </row>
    <row r="281" spans="1:12" ht="15.6" x14ac:dyDescent="0.3">
      <c r="A281" s="3">
        <v>1291</v>
      </c>
      <c r="B281" s="4" t="s">
        <v>21</v>
      </c>
      <c r="C281" s="4" t="s">
        <v>17</v>
      </c>
      <c r="D281" s="4" t="s">
        <v>13</v>
      </c>
      <c r="E281" s="4" t="s">
        <v>36</v>
      </c>
      <c r="F281" s="4">
        <v>17</v>
      </c>
      <c r="G281" s="4">
        <v>415</v>
      </c>
      <c r="H281" s="4">
        <v>5</v>
      </c>
      <c r="I281" s="5">
        <v>46137</v>
      </c>
      <c r="J281" s="5">
        <v>46141</v>
      </c>
      <c r="K281" s="6" t="s">
        <v>20</v>
      </c>
      <c r="L281" s="28">
        <f>F281*G281*(1-H281/100)</f>
        <v>6702.25</v>
      </c>
    </row>
    <row r="282" spans="1:12" ht="15.6" x14ac:dyDescent="0.3">
      <c r="A282" s="3">
        <v>1284</v>
      </c>
      <c r="B282" s="4" t="s">
        <v>40</v>
      </c>
      <c r="C282" s="4" t="s">
        <v>25</v>
      </c>
      <c r="D282" s="4" t="s">
        <v>13</v>
      </c>
      <c r="E282" s="4" t="s">
        <v>37</v>
      </c>
      <c r="F282" s="4">
        <v>16</v>
      </c>
      <c r="G282" s="4">
        <v>419</v>
      </c>
      <c r="H282" s="4">
        <v>2</v>
      </c>
      <c r="I282" s="5">
        <v>46082</v>
      </c>
      <c r="J282" s="5">
        <v>46090</v>
      </c>
      <c r="K282" s="6" t="s">
        <v>15</v>
      </c>
      <c r="L282" s="28">
        <f>F282*G282*(1-H282/100)</f>
        <v>6569.92</v>
      </c>
    </row>
    <row r="283" spans="1:12" ht="15.6" x14ac:dyDescent="0.3">
      <c r="A283" s="3">
        <v>1327</v>
      </c>
      <c r="B283" s="4" t="s">
        <v>48</v>
      </c>
      <c r="C283" s="4" t="s">
        <v>12</v>
      </c>
      <c r="D283" s="4" t="s">
        <v>13</v>
      </c>
      <c r="E283" s="4" t="s">
        <v>53</v>
      </c>
      <c r="F283" s="4">
        <v>15</v>
      </c>
      <c r="G283" s="4">
        <v>449</v>
      </c>
      <c r="H283" s="4">
        <v>5</v>
      </c>
      <c r="I283" s="5">
        <v>46152</v>
      </c>
      <c r="J283" s="5">
        <v>46153</v>
      </c>
      <c r="K283" s="6" t="s">
        <v>15</v>
      </c>
      <c r="L283" s="28">
        <f>F283*G283*(1-H283/100)</f>
        <v>6398.25</v>
      </c>
    </row>
    <row r="284" spans="1:12" ht="15.6" x14ac:dyDescent="0.3">
      <c r="A284" s="3">
        <v>1010</v>
      </c>
      <c r="B284" s="4" t="s">
        <v>11</v>
      </c>
      <c r="C284" s="4" t="s">
        <v>17</v>
      </c>
      <c r="D284" s="4" t="s">
        <v>13</v>
      </c>
      <c r="E284" s="4" t="s">
        <v>36</v>
      </c>
      <c r="F284" s="4">
        <v>14</v>
      </c>
      <c r="G284" s="4">
        <v>470</v>
      </c>
      <c r="H284" s="4">
        <v>5</v>
      </c>
      <c r="I284" s="5">
        <v>46062</v>
      </c>
      <c r="J284" s="5">
        <v>46068</v>
      </c>
      <c r="K284" s="6" t="s">
        <v>15</v>
      </c>
      <c r="L284" s="28">
        <f>F284*G284*(1-H284/100)</f>
        <v>6251</v>
      </c>
    </row>
    <row r="285" spans="1:12" ht="15.6" x14ac:dyDescent="0.3">
      <c r="A285" s="3">
        <v>1266</v>
      </c>
      <c r="B285" s="4" t="s">
        <v>29</v>
      </c>
      <c r="C285" s="4" t="s">
        <v>33</v>
      </c>
      <c r="D285" s="4" t="s">
        <v>13</v>
      </c>
      <c r="E285" s="4" t="s">
        <v>14</v>
      </c>
      <c r="F285" s="4">
        <v>17</v>
      </c>
      <c r="G285" s="4">
        <v>365</v>
      </c>
      <c r="H285" s="4">
        <v>2</v>
      </c>
      <c r="I285" s="5">
        <v>46096</v>
      </c>
      <c r="J285" s="5">
        <v>46104</v>
      </c>
      <c r="K285" s="6" t="s">
        <v>51</v>
      </c>
      <c r="L285" s="28">
        <f>F285*G285*(1-H285/100)</f>
        <v>6080.9</v>
      </c>
    </row>
    <row r="286" spans="1:12" ht="15.6" x14ac:dyDescent="0.3">
      <c r="A286" s="3">
        <v>1018</v>
      </c>
      <c r="B286" s="4" t="s">
        <v>47</v>
      </c>
      <c r="C286" s="4" t="s">
        <v>25</v>
      </c>
      <c r="D286" s="4" t="s">
        <v>13</v>
      </c>
      <c r="E286" s="4" t="s">
        <v>14</v>
      </c>
      <c r="F286" s="4">
        <v>20</v>
      </c>
      <c r="G286" s="4">
        <v>301</v>
      </c>
      <c r="H286" s="4">
        <v>0</v>
      </c>
      <c r="I286" s="5">
        <v>46089</v>
      </c>
      <c r="J286" s="5">
        <v>46094</v>
      </c>
      <c r="K286" s="6" t="s">
        <v>29</v>
      </c>
      <c r="L286" s="28">
        <f>F286*G286*(1-H286/100)</f>
        <v>6020</v>
      </c>
    </row>
    <row r="287" spans="1:12" ht="15.6" x14ac:dyDescent="0.3">
      <c r="A287" s="3">
        <v>1195</v>
      </c>
      <c r="B287" s="4" t="s">
        <v>59</v>
      </c>
      <c r="C287" s="4" t="s">
        <v>17</v>
      </c>
      <c r="D287" s="4" t="s">
        <v>13</v>
      </c>
      <c r="E287" s="4" t="s">
        <v>50</v>
      </c>
      <c r="F287" s="4">
        <v>19</v>
      </c>
      <c r="G287" s="4">
        <v>313</v>
      </c>
      <c r="H287" s="4">
        <v>2</v>
      </c>
      <c r="I287" s="5">
        <v>46198</v>
      </c>
      <c r="J287" s="5">
        <v>46206</v>
      </c>
      <c r="K287" s="6" t="s">
        <v>51</v>
      </c>
      <c r="L287" s="28">
        <f>F287*G287*(1-H287/100)</f>
        <v>5828.0599999999995</v>
      </c>
    </row>
    <row r="288" spans="1:12" ht="15.6" x14ac:dyDescent="0.3">
      <c r="A288" s="3">
        <v>1143</v>
      </c>
      <c r="B288" s="4" t="s">
        <v>29</v>
      </c>
      <c r="C288" s="4" t="s">
        <v>17</v>
      </c>
      <c r="D288" s="4" t="s">
        <v>13</v>
      </c>
      <c r="E288" s="4" t="s">
        <v>37</v>
      </c>
      <c r="F288" s="4">
        <v>13</v>
      </c>
      <c r="G288" s="4">
        <v>456</v>
      </c>
      <c r="H288" s="4">
        <v>2</v>
      </c>
      <c r="I288" s="5">
        <v>46160</v>
      </c>
      <c r="J288" s="5">
        <v>46167</v>
      </c>
      <c r="K288" s="6" t="s">
        <v>24</v>
      </c>
      <c r="L288" s="28">
        <f>F288*G288*(1-H288/100)</f>
        <v>5809.44</v>
      </c>
    </row>
    <row r="289" spans="1:12" ht="15.6" x14ac:dyDescent="0.3">
      <c r="A289" s="3">
        <v>1198</v>
      </c>
      <c r="B289" s="4" t="s">
        <v>58</v>
      </c>
      <c r="C289" s="4" t="s">
        <v>12</v>
      </c>
      <c r="D289" s="4" t="s">
        <v>13</v>
      </c>
      <c r="E289" s="4" t="s">
        <v>14</v>
      </c>
      <c r="F289" s="4">
        <v>12</v>
      </c>
      <c r="G289" s="4">
        <v>491</v>
      </c>
      <c r="H289" s="4">
        <v>2</v>
      </c>
      <c r="I289" s="5">
        <v>46106</v>
      </c>
      <c r="J289" s="5">
        <v>46109</v>
      </c>
      <c r="K289" s="6" t="s">
        <v>51</v>
      </c>
      <c r="L289" s="28">
        <f>F289*G289*(1-H289/100)</f>
        <v>5774.16</v>
      </c>
    </row>
    <row r="290" spans="1:12" ht="15.6" x14ac:dyDescent="0.3">
      <c r="A290" s="3">
        <v>1098</v>
      </c>
      <c r="B290" s="4" t="s">
        <v>26</v>
      </c>
      <c r="C290" s="4" t="s">
        <v>25</v>
      </c>
      <c r="D290" s="4" t="s">
        <v>13</v>
      </c>
      <c r="E290" s="4" t="s">
        <v>53</v>
      </c>
      <c r="F290" s="4">
        <v>17</v>
      </c>
      <c r="G290" s="4">
        <v>345</v>
      </c>
      <c r="H290" s="4">
        <v>2</v>
      </c>
      <c r="I290" s="5">
        <v>46126</v>
      </c>
      <c r="J290" s="5">
        <v>46127</v>
      </c>
      <c r="K290" s="6" t="s">
        <v>51</v>
      </c>
      <c r="L290" s="28">
        <f>F290*G290*(1-H290/100)</f>
        <v>5747.7</v>
      </c>
    </row>
    <row r="291" spans="1:12" ht="15.6" x14ac:dyDescent="0.3">
      <c r="A291" s="3">
        <v>1028</v>
      </c>
      <c r="B291" s="4" t="s">
        <v>47</v>
      </c>
      <c r="C291" s="4" t="s">
        <v>22</v>
      </c>
      <c r="D291" s="4" t="s">
        <v>13</v>
      </c>
      <c r="E291" s="4" t="s">
        <v>36</v>
      </c>
      <c r="F291" s="4">
        <v>13</v>
      </c>
      <c r="G291" s="4">
        <v>433</v>
      </c>
      <c r="H291" s="4">
        <v>2</v>
      </c>
      <c r="I291" s="5">
        <v>46116</v>
      </c>
      <c r="J291" s="5">
        <v>46121</v>
      </c>
      <c r="K291" s="6" t="s">
        <v>24</v>
      </c>
      <c r="L291" s="28">
        <f>F291*G291*(1-H291/100)</f>
        <v>5516.42</v>
      </c>
    </row>
    <row r="292" spans="1:12" ht="15.6" x14ac:dyDescent="0.3">
      <c r="A292" s="3">
        <v>1168</v>
      </c>
      <c r="B292" s="4" t="s">
        <v>54</v>
      </c>
      <c r="C292" s="4" t="s">
        <v>12</v>
      </c>
      <c r="D292" s="4" t="s">
        <v>13</v>
      </c>
      <c r="E292" s="4" t="s">
        <v>37</v>
      </c>
      <c r="F292" s="4">
        <v>18</v>
      </c>
      <c r="G292" s="4">
        <v>335</v>
      </c>
      <c r="H292" s="4">
        <v>15</v>
      </c>
      <c r="I292" s="5">
        <v>46130</v>
      </c>
      <c r="J292" s="5">
        <v>46140</v>
      </c>
      <c r="K292" s="6" t="s">
        <v>29</v>
      </c>
      <c r="L292" s="28">
        <f>F292*G292*(1-H292/100)</f>
        <v>5125.5</v>
      </c>
    </row>
    <row r="293" spans="1:12" ht="15.6" x14ac:dyDescent="0.3">
      <c r="A293" s="3">
        <v>1099</v>
      </c>
      <c r="B293" s="4" t="s">
        <v>26</v>
      </c>
      <c r="C293" s="4" t="s">
        <v>31</v>
      </c>
      <c r="D293" s="4" t="s">
        <v>18</v>
      </c>
      <c r="E293" s="4" t="s">
        <v>19</v>
      </c>
      <c r="F293" s="4">
        <v>1</v>
      </c>
      <c r="G293" s="4">
        <v>5165</v>
      </c>
      <c r="H293" s="4">
        <v>2</v>
      </c>
      <c r="I293" s="5">
        <v>46058</v>
      </c>
      <c r="J293" s="5">
        <v>46060</v>
      </c>
      <c r="K293" s="6" t="s">
        <v>15</v>
      </c>
      <c r="L293" s="28">
        <f>F293*G293*(1-H293/100)</f>
        <v>5061.7</v>
      </c>
    </row>
    <row r="294" spans="1:12" ht="15.6" x14ac:dyDescent="0.3">
      <c r="A294" s="3">
        <v>1026</v>
      </c>
      <c r="B294" s="4" t="s">
        <v>49</v>
      </c>
      <c r="C294" s="4" t="s">
        <v>31</v>
      </c>
      <c r="D294" s="4" t="s">
        <v>13</v>
      </c>
      <c r="E294" s="4" t="s">
        <v>50</v>
      </c>
      <c r="F294" s="4">
        <v>17</v>
      </c>
      <c r="G294" s="4">
        <v>323</v>
      </c>
      <c r="H294" s="4">
        <v>10</v>
      </c>
      <c r="I294" s="5">
        <v>46039</v>
      </c>
      <c r="J294" s="5">
        <v>46040</v>
      </c>
      <c r="K294" s="6" t="s">
        <v>29</v>
      </c>
      <c r="L294" s="28">
        <f>F294*G294*(1-H294/100)</f>
        <v>4941.9000000000005</v>
      </c>
    </row>
    <row r="295" spans="1:12" ht="15.6" x14ac:dyDescent="0.3">
      <c r="A295" s="3">
        <v>1204</v>
      </c>
      <c r="B295" s="4" t="s">
        <v>16</v>
      </c>
      <c r="C295" s="4" t="s">
        <v>31</v>
      </c>
      <c r="D295" s="4" t="s">
        <v>13</v>
      </c>
      <c r="E295" s="4" t="s">
        <v>37</v>
      </c>
      <c r="F295" s="4">
        <v>13</v>
      </c>
      <c r="G295" s="4">
        <v>416</v>
      </c>
      <c r="H295" s="4">
        <v>10</v>
      </c>
      <c r="I295" s="5">
        <v>46123</v>
      </c>
      <c r="J295" s="5">
        <v>46132</v>
      </c>
      <c r="K295" s="6" t="s">
        <v>20</v>
      </c>
      <c r="L295" s="28">
        <f>F295*G295*(1-H295/100)</f>
        <v>4867.2</v>
      </c>
    </row>
    <row r="296" spans="1:12" ht="15.6" x14ac:dyDescent="0.3">
      <c r="A296" s="3">
        <v>1167</v>
      </c>
      <c r="B296" s="4" t="s">
        <v>48</v>
      </c>
      <c r="C296" s="4" t="s">
        <v>17</v>
      </c>
      <c r="D296" s="4" t="s">
        <v>13</v>
      </c>
      <c r="E296" s="4" t="s">
        <v>37</v>
      </c>
      <c r="F296" s="4">
        <v>20</v>
      </c>
      <c r="G296" s="4">
        <v>251</v>
      </c>
      <c r="H296" s="4">
        <v>5</v>
      </c>
      <c r="I296" s="5">
        <v>46160</v>
      </c>
      <c r="J296" s="5">
        <v>46170</v>
      </c>
      <c r="K296" s="6" t="s">
        <v>29</v>
      </c>
      <c r="L296" s="28">
        <f>F296*G296*(1-H296/100)</f>
        <v>4769</v>
      </c>
    </row>
    <row r="297" spans="1:12" ht="15.6" x14ac:dyDescent="0.3">
      <c r="A297" s="3">
        <v>1337</v>
      </c>
      <c r="B297" s="4" t="s">
        <v>16</v>
      </c>
      <c r="C297" s="4" t="s">
        <v>12</v>
      </c>
      <c r="D297" s="4" t="s">
        <v>13</v>
      </c>
      <c r="E297" s="4" t="s">
        <v>53</v>
      </c>
      <c r="F297" s="4">
        <v>14</v>
      </c>
      <c r="G297" s="4">
        <v>373</v>
      </c>
      <c r="H297" s="4">
        <v>10</v>
      </c>
      <c r="I297" s="5">
        <v>46074</v>
      </c>
      <c r="J297" s="5">
        <v>46080</v>
      </c>
      <c r="K297" s="6" t="s">
        <v>29</v>
      </c>
      <c r="L297" s="28">
        <f>F297*G297*(1-H297/100)</f>
        <v>4699.8</v>
      </c>
    </row>
    <row r="298" spans="1:12" ht="15.6" x14ac:dyDescent="0.3">
      <c r="A298" s="3">
        <v>1087</v>
      </c>
      <c r="B298" s="4" t="s">
        <v>11</v>
      </c>
      <c r="C298" s="4" t="s">
        <v>31</v>
      </c>
      <c r="D298" s="4" t="s">
        <v>13</v>
      </c>
      <c r="E298" s="4" t="s">
        <v>37</v>
      </c>
      <c r="F298" s="4">
        <v>13</v>
      </c>
      <c r="G298" s="4">
        <v>387</v>
      </c>
      <c r="H298" s="4">
        <v>7</v>
      </c>
      <c r="I298" s="5">
        <v>46171</v>
      </c>
      <c r="J298" s="5">
        <v>46176</v>
      </c>
      <c r="K298" s="6" t="s">
        <v>24</v>
      </c>
      <c r="L298" s="28">
        <f>F298*G298*(1-H298/100)</f>
        <v>4678.83</v>
      </c>
    </row>
    <row r="299" spans="1:12" ht="15.6" x14ac:dyDescent="0.3">
      <c r="A299" s="3">
        <v>1151</v>
      </c>
      <c r="B299" s="4" t="s">
        <v>46</v>
      </c>
      <c r="C299" s="4" t="s">
        <v>43</v>
      </c>
      <c r="D299" s="4" t="s">
        <v>13</v>
      </c>
      <c r="E299" s="4" t="s">
        <v>50</v>
      </c>
      <c r="F299" s="4">
        <v>20</v>
      </c>
      <c r="G299" s="4">
        <v>272</v>
      </c>
      <c r="H299" s="4">
        <v>15</v>
      </c>
      <c r="I299" s="5">
        <v>46024</v>
      </c>
      <c r="J299" s="5">
        <v>46029</v>
      </c>
      <c r="K299" s="6" t="s">
        <v>51</v>
      </c>
      <c r="L299" s="28">
        <f>F299*G299*(1-H299/100)</f>
        <v>4624</v>
      </c>
    </row>
    <row r="300" spans="1:12" ht="15.6" x14ac:dyDescent="0.3">
      <c r="A300" s="3">
        <v>1383</v>
      </c>
      <c r="B300" s="4" t="s">
        <v>32</v>
      </c>
      <c r="C300" s="4" t="s">
        <v>12</v>
      </c>
      <c r="D300" s="4" t="s">
        <v>13</v>
      </c>
      <c r="E300" s="4" t="s">
        <v>53</v>
      </c>
      <c r="F300" s="4">
        <v>14</v>
      </c>
      <c r="G300" s="4">
        <v>334</v>
      </c>
      <c r="H300" s="4">
        <v>10</v>
      </c>
      <c r="I300" s="5">
        <v>46196</v>
      </c>
      <c r="J300" s="5">
        <v>46203</v>
      </c>
      <c r="K300" s="6" t="s">
        <v>15</v>
      </c>
      <c r="L300" s="28">
        <f>F300*G300*(1-H300/100)</f>
        <v>4208.4000000000005</v>
      </c>
    </row>
    <row r="301" spans="1:12" ht="15.6" x14ac:dyDescent="0.3">
      <c r="A301" s="3">
        <v>1050</v>
      </c>
      <c r="B301" s="4" t="s">
        <v>32</v>
      </c>
      <c r="C301" s="4" t="s">
        <v>25</v>
      </c>
      <c r="D301" s="4" t="s">
        <v>13</v>
      </c>
      <c r="E301" s="4" t="s">
        <v>53</v>
      </c>
      <c r="F301" s="4">
        <v>12</v>
      </c>
      <c r="G301" s="4">
        <v>360</v>
      </c>
      <c r="H301" s="4">
        <v>5</v>
      </c>
      <c r="I301" s="5">
        <v>46127</v>
      </c>
      <c r="J301" s="5">
        <v>46137</v>
      </c>
      <c r="K301" s="6" t="s">
        <v>29</v>
      </c>
      <c r="L301" s="28">
        <f>F301*G301*(1-H301/100)</f>
        <v>4104</v>
      </c>
    </row>
    <row r="302" spans="1:12" ht="15.6" x14ac:dyDescent="0.3">
      <c r="A302" s="3">
        <v>1370</v>
      </c>
      <c r="B302" s="4" t="s">
        <v>59</v>
      </c>
      <c r="C302" s="4" t="s">
        <v>38</v>
      </c>
      <c r="D302" s="4" t="s">
        <v>13</v>
      </c>
      <c r="E302" s="4" t="s">
        <v>53</v>
      </c>
      <c r="F302" s="4">
        <v>13</v>
      </c>
      <c r="G302" s="4">
        <v>337</v>
      </c>
      <c r="H302" s="4">
        <v>7</v>
      </c>
      <c r="I302" s="5">
        <v>46184</v>
      </c>
      <c r="J302" s="5">
        <v>46188</v>
      </c>
      <c r="K302" s="6" t="s">
        <v>15</v>
      </c>
      <c r="L302" s="28">
        <f>F302*G302*(1-H302/100)</f>
        <v>4074.33</v>
      </c>
    </row>
    <row r="303" spans="1:12" ht="15.6" x14ac:dyDescent="0.3">
      <c r="A303" s="3">
        <v>1180</v>
      </c>
      <c r="B303" s="4" t="s">
        <v>40</v>
      </c>
      <c r="C303" s="4" t="s">
        <v>31</v>
      </c>
      <c r="D303" s="4" t="s">
        <v>18</v>
      </c>
      <c r="E303" s="4" t="s">
        <v>28</v>
      </c>
      <c r="F303" s="4">
        <v>2</v>
      </c>
      <c r="G303" s="4">
        <v>2076</v>
      </c>
      <c r="H303" s="4">
        <v>2</v>
      </c>
      <c r="I303" s="5">
        <v>46111</v>
      </c>
      <c r="J303" s="5">
        <v>46121</v>
      </c>
      <c r="K303" s="6" t="s">
        <v>29</v>
      </c>
      <c r="L303" s="28">
        <f>F303*G303*(1-H303/100)</f>
        <v>4068.96</v>
      </c>
    </row>
    <row r="304" spans="1:12" ht="15.6" x14ac:dyDescent="0.3">
      <c r="A304" s="3">
        <v>1120</v>
      </c>
      <c r="B304" s="4" t="s">
        <v>32</v>
      </c>
      <c r="C304" s="4" t="s">
        <v>38</v>
      </c>
      <c r="D304" s="4" t="s">
        <v>13</v>
      </c>
      <c r="E304" s="4" t="s">
        <v>36</v>
      </c>
      <c r="F304" s="4">
        <v>10</v>
      </c>
      <c r="G304" s="4">
        <v>438</v>
      </c>
      <c r="H304" s="4">
        <v>10</v>
      </c>
      <c r="I304" s="5">
        <v>46061</v>
      </c>
      <c r="J304" s="5">
        <v>46065</v>
      </c>
      <c r="K304" s="6" t="s">
        <v>51</v>
      </c>
      <c r="L304" s="28">
        <f>F304*G304*(1-H304/100)</f>
        <v>3942</v>
      </c>
    </row>
    <row r="305" spans="1:12" ht="15.6" x14ac:dyDescent="0.3">
      <c r="A305" s="3">
        <v>1030</v>
      </c>
      <c r="B305" s="4" t="s">
        <v>52</v>
      </c>
      <c r="C305" s="4" t="s">
        <v>12</v>
      </c>
      <c r="D305" s="4" t="s">
        <v>13</v>
      </c>
      <c r="E305" s="4" t="s">
        <v>53</v>
      </c>
      <c r="F305" s="4">
        <v>13</v>
      </c>
      <c r="G305" s="4">
        <v>336</v>
      </c>
      <c r="H305" s="4">
        <v>10</v>
      </c>
      <c r="I305" s="5">
        <v>46098</v>
      </c>
      <c r="J305" s="5">
        <v>46108</v>
      </c>
      <c r="K305" s="6" t="s">
        <v>15</v>
      </c>
      <c r="L305" s="28">
        <f>F305*G305*(1-H305/100)</f>
        <v>3931.2000000000003</v>
      </c>
    </row>
    <row r="306" spans="1:12" ht="15.6" x14ac:dyDescent="0.3">
      <c r="A306" s="3">
        <v>1137</v>
      </c>
      <c r="B306" s="4" t="s">
        <v>52</v>
      </c>
      <c r="C306" s="4" t="s">
        <v>12</v>
      </c>
      <c r="D306" s="4" t="s">
        <v>13</v>
      </c>
      <c r="E306" s="4" t="s">
        <v>37</v>
      </c>
      <c r="F306" s="4">
        <v>16</v>
      </c>
      <c r="G306" s="4">
        <v>270</v>
      </c>
      <c r="H306" s="4">
        <v>10</v>
      </c>
      <c r="I306" s="5">
        <v>46184</v>
      </c>
      <c r="J306" s="5">
        <v>46190</v>
      </c>
      <c r="K306" s="6" t="s">
        <v>29</v>
      </c>
      <c r="L306" s="28">
        <f>F306*G306*(1-H306/100)</f>
        <v>3888</v>
      </c>
    </row>
    <row r="307" spans="1:12" ht="15.6" x14ac:dyDescent="0.3">
      <c r="A307" s="3">
        <v>1344</v>
      </c>
      <c r="B307" s="4" t="s">
        <v>30</v>
      </c>
      <c r="C307" s="4" t="s">
        <v>17</v>
      </c>
      <c r="D307" s="4" t="s">
        <v>13</v>
      </c>
      <c r="E307" s="4" t="s">
        <v>53</v>
      </c>
      <c r="F307" s="4">
        <v>18</v>
      </c>
      <c r="G307" s="4">
        <v>240</v>
      </c>
      <c r="H307" s="4">
        <v>10</v>
      </c>
      <c r="I307" s="5">
        <v>46155</v>
      </c>
      <c r="J307" s="5">
        <v>46156</v>
      </c>
      <c r="K307" s="6" t="s">
        <v>24</v>
      </c>
      <c r="L307" s="28">
        <f>F307*G307*(1-H307/100)</f>
        <v>3888</v>
      </c>
    </row>
    <row r="308" spans="1:12" ht="15.6" x14ac:dyDescent="0.3">
      <c r="A308" s="3">
        <v>1329</v>
      </c>
      <c r="B308" s="4" t="s">
        <v>30</v>
      </c>
      <c r="C308" s="4" t="s">
        <v>43</v>
      </c>
      <c r="D308" s="4" t="s">
        <v>13</v>
      </c>
      <c r="E308" s="4" t="s">
        <v>53</v>
      </c>
      <c r="F308" s="4">
        <v>18</v>
      </c>
      <c r="G308" s="4">
        <v>227</v>
      </c>
      <c r="H308" s="4">
        <v>5</v>
      </c>
      <c r="I308" s="5">
        <v>46126</v>
      </c>
      <c r="J308" s="5">
        <v>46136</v>
      </c>
      <c r="K308" s="6" t="s">
        <v>29</v>
      </c>
      <c r="L308" s="28">
        <f>F308*G308*(1-H308/100)</f>
        <v>3881.7</v>
      </c>
    </row>
    <row r="309" spans="1:12" ht="15.6" x14ac:dyDescent="0.3">
      <c r="A309" s="3">
        <v>1277</v>
      </c>
      <c r="B309" s="4" t="s">
        <v>59</v>
      </c>
      <c r="C309" s="4" t="s">
        <v>17</v>
      </c>
      <c r="D309" s="4" t="s">
        <v>13</v>
      </c>
      <c r="E309" s="4" t="s">
        <v>36</v>
      </c>
      <c r="F309" s="4">
        <v>14</v>
      </c>
      <c r="G309" s="4">
        <v>276</v>
      </c>
      <c r="H309" s="4">
        <v>0</v>
      </c>
      <c r="I309" s="5">
        <v>46086</v>
      </c>
      <c r="J309" s="5">
        <v>46089</v>
      </c>
      <c r="K309" s="6" t="s">
        <v>15</v>
      </c>
      <c r="L309" s="28">
        <f>F309*G309*(1-H309/100)</f>
        <v>3864</v>
      </c>
    </row>
    <row r="310" spans="1:12" ht="15.6" x14ac:dyDescent="0.3">
      <c r="A310" s="3">
        <v>1042</v>
      </c>
      <c r="B310" s="4" t="s">
        <v>46</v>
      </c>
      <c r="C310" s="4" t="s">
        <v>33</v>
      </c>
      <c r="D310" s="4" t="s">
        <v>13</v>
      </c>
      <c r="E310" s="4" t="s">
        <v>53</v>
      </c>
      <c r="F310" s="4">
        <v>16</v>
      </c>
      <c r="G310" s="4">
        <v>232</v>
      </c>
      <c r="H310" s="4">
        <v>0</v>
      </c>
      <c r="I310" s="5">
        <v>46081</v>
      </c>
      <c r="J310" s="5">
        <v>46088</v>
      </c>
      <c r="K310" s="6" t="s">
        <v>29</v>
      </c>
      <c r="L310" s="28">
        <f>F310*G310*(1-H310/100)</f>
        <v>3712</v>
      </c>
    </row>
    <row r="311" spans="1:12" ht="15.6" x14ac:dyDescent="0.3">
      <c r="A311" s="3">
        <v>1287</v>
      </c>
      <c r="B311" s="4" t="s">
        <v>59</v>
      </c>
      <c r="C311" s="4" t="s">
        <v>31</v>
      </c>
      <c r="D311" s="4" t="s">
        <v>13</v>
      </c>
      <c r="E311" s="4" t="s">
        <v>14</v>
      </c>
      <c r="F311" s="4">
        <v>15</v>
      </c>
      <c r="G311" s="4">
        <v>251</v>
      </c>
      <c r="H311" s="4">
        <v>2</v>
      </c>
      <c r="I311" s="5">
        <v>46116</v>
      </c>
      <c r="J311" s="5">
        <v>46122</v>
      </c>
      <c r="K311" s="6" t="s">
        <v>51</v>
      </c>
      <c r="L311" s="28">
        <f>F311*G311*(1-H311/100)</f>
        <v>3689.7</v>
      </c>
    </row>
    <row r="312" spans="1:12" ht="15.6" x14ac:dyDescent="0.3">
      <c r="A312" s="3">
        <v>1252</v>
      </c>
      <c r="B312" s="4" t="s">
        <v>47</v>
      </c>
      <c r="C312" s="4" t="s">
        <v>25</v>
      </c>
      <c r="D312" s="4" t="s">
        <v>13</v>
      </c>
      <c r="E312" s="4" t="s">
        <v>36</v>
      </c>
      <c r="F312" s="4">
        <v>15</v>
      </c>
      <c r="G312" s="4">
        <v>257</v>
      </c>
      <c r="H312" s="4">
        <v>5</v>
      </c>
      <c r="I312" s="5">
        <v>46166</v>
      </c>
      <c r="J312" s="5">
        <v>46173</v>
      </c>
      <c r="K312" s="6" t="s">
        <v>20</v>
      </c>
      <c r="L312" s="28">
        <f>F312*G312*(1-H312/100)</f>
        <v>3662.25</v>
      </c>
    </row>
    <row r="313" spans="1:12" ht="15.6" x14ac:dyDescent="0.3">
      <c r="A313" s="3">
        <v>1074</v>
      </c>
      <c r="B313" s="4" t="s">
        <v>26</v>
      </c>
      <c r="C313" s="4" t="s">
        <v>31</v>
      </c>
      <c r="D313" s="4" t="s">
        <v>13</v>
      </c>
      <c r="E313" s="4" t="s">
        <v>50</v>
      </c>
      <c r="F313" s="4">
        <v>11</v>
      </c>
      <c r="G313" s="4">
        <v>390</v>
      </c>
      <c r="H313" s="4">
        <v>15</v>
      </c>
      <c r="I313" s="5">
        <v>46114</v>
      </c>
      <c r="J313" s="5">
        <v>46123</v>
      </c>
      <c r="K313" s="6" t="s">
        <v>29</v>
      </c>
      <c r="L313" s="28">
        <f>F313*G313*(1-H313/100)</f>
        <v>3646.5</v>
      </c>
    </row>
    <row r="314" spans="1:12" ht="15.6" x14ac:dyDescent="0.3">
      <c r="A314" s="3">
        <v>1324</v>
      </c>
      <c r="B314" s="4" t="s">
        <v>32</v>
      </c>
      <c r="C314" s="4" t="s">
        <v>22</v>
      </c>
      <c r="D314" s="4" t="s">
        <v>18</v>
      </c>
      <c r="E314" s="4" t="s">
        <v>19</v>
      </c>
      <c r="F314" s="4">
        <v>1</v>
      </c>
      <c r="G314" s="4">
        <v>4286</v>
      </c>
      <c r="H314" s="4">
        <v>15</v>
      </c>
      <c r="I314" s="5">
        <v>46053</v>
      </c>
      <c r="J314" s="5">
        <v>46056</v>
      </c>
      <c r="K314" s="6" t="s">
        <v>20</v>
      </c>
      <c r="L314" s="28">
        <f>F314*G314*(1-H314/100)</f>
        <v>3643.1</v>
      </c>
    </row>
    <row r="315" spans="1:12" ht="15.6" x14ac:dyDescent="0.3">
      <c r="A315" s="3">
        <v>1064</v>
      </c>
      <c r="B315" s="4" t="s">
        <v>26</v>
      </c>
      <c r="C315" s="4" t="s">
        <v>17</v>
      </c>
      <c r="D315" s="4" t="s">
        <v>13</v>
      </c>
      <c r="E315" s="4" t="s">
        <v>50</v>
      </c>
      <c r="F315" s="4">
        <v>20</v>
      </c>
      <c r="G315" s="4">
        <v>191</v>
      </c>
      <c r="H315" s="4">
        <v>7</v>
      </c>
      <c r="I315" s="5">
        <v>46185</v>
      </c>
      <c r="J315" s="5">
        <v>46195</v>
      </c>
      <c r="K315" s="6" t="s">
        <v>29</v>
      </c>
      <c r="L315" s="28">
        <f>F315*G315*(1-H315/100)</f>
        <v>3552.6</v>
      </c>
    </row>
    <row r="316" spans="1:12" ht="15.6" x14ac:dyDescent="0.3">
      <c r="A316" s="3">
        <v>1038</v>
      </c>
      <c r="B316" s="4" t="s">
        <v>55</v>
      </c>
      <c r="C316" s="4" t="s">
        <v>17</v>
      </c>
      <c r="D316" s="4" t="s">
        <v>13</v>
      </c>
      <c r="E316" s="4" t="s">
        <v>36</v>
      </c>
      <c r="F316" s="4">
        <v>17</v>
      </c>
      <c r="G316" s="4">
        <v>223</v>
      </c>
      <c r="H316" s="4">
        <v>7</v>
      </c>
      <c r="I316" s="5">
        <v>46030</v>
      </c>
      <c r="J316" s="5">
        <v>46031</v>
      </c>
      <c r="K316" s="6" t="s">
        <v>51</v>
      </c>
      <c r="L316" s="28">
        <f>F316*G316*(1-H316/100)</f>
        <v>3525.6299999999997</v>
      </c>
    </row>
    <row r="317" spans="1:12" ht="15.6" x14ac:dyDescent="0.3">
      <c r="A317" s="3">
        <v>1210</v>
      </c>
      <c r="B317" s="4" t="s">
        <v>30</v>
      </c>
      <c r="C317" s="4" t="s">
        <v>31</v>
      </c>
      <c r="D317" s="4" t="s">
        <v>13</v>
      </c>
      <c r="E317" s="4" t="s">
        <v>53</v>
      </c>
      <c r="F317" s="4">
        <v>10</v>
      </c>
      <c r="G317" s="4">
        <v>349</v>
      </c>
      <c r="H317" s="4">
        <v>0</v>
      </c>
      <c r="I317" s="5">
        <v>46052</v>
      </c>
      <c r="J317" s="5">
        <v>46060</v>
      </c>
      <c r="K317" s="6" t="s">
        <v>29</v>
      </c>
      <c r="L317" s="28">
        <f>F317*G317*(1-H317/100)</f>
        <v>3490</v>
      </c>
    </row>
    <row r="318" spans="1:12" ht="15.6" x14ac:dyDescent="0.3">
      <c r="A318" s="3">
        <v>1361</v>
      </c>
      <c r="B318" s="4" t="s">
        <v>42</v>
      </c>
      <c r="C318" s="4" t="s">
        <v>17</v>
      </c>
      <c r="D318" s="4" t="s">
        <v>18</v>
      </c>
      <c r="E318" s="4" t="s">
        <v>23</v>
      </c>
      <c r="F318" s="4">
        <v>2</v>
      </c>
      <c r="G318" s="4">
        <v>1822</v>
      </c>
      <c r="H318" s="4">
        <v>5</v>
      </c>
      <c r="I318" s="5">
        <v>46141</v>
      </c>
      <c r="J318" s="5">
        <v>46145</v>
      </c>
      <c r="K318" s="6" t="s">
        <v>20</v>
      </c>
      <c r="L318" s="28">
        <f>F318*G318*(1-H318/100)</f>
        <v>3461.7999999999997</v>
      </c>
    </row>
    <row r="319" spans="1:12" ht="15.6" x14ac:dyDescent="0.3">
      <c r="A319" s="3">
        <v>1235</v>
      </c>
      <c r="B319" s="4" t="s">
        <v>57</v>
      </c>
      <c r="C319" s="4" t="s">
        <v>25</v>
      </c>
      <c r="D319" s="4" t="s">
        <v>13</v>
      </c>
      <c r="E319" s="4" t="s">
        <v>50</v>
      </c>
      <c r="F319" s="4">
        <v>15</v>
      </c>
      <c r="G319" s="4">
        <v>267</v>
      </c>
      <c r="H319" s="4">
        <v>15</v>
      </c>
      <c r="I319" s="5">
        <v>46172</v>
      </c>
      <c r="J319" s="5">
        <v>46177</v>
      </c>
      <c r="K319" s="6" t="s">
        <v>29</v>
      </c>
      <c r="L319" s="28">
        <f>F319*G319*(1-H319/100)</f>
        <v>3404.25</v>
      </c>
    </row>
    <row r="320" spans="1:12" ht="15.6" x14ac:dyDescent="0.3">
      <c r="A320" s="3">
        <v>1144</v>
      </c>
      <c r="B320" s="4" t="s">
        <v>42</v>
      </c>
      <c r="C320" s="4" t="s">
        <v>25</v>
      </c>
      <c r="D320" s="4" t="s">
        <v>13</v>
      </c>
      <c r="E320" s="4" t="s">
        <v>14</v>
      </c>
      <c r="F320" s="4">
        <v>16</v>
      </c>
      <c r="G320" s="4">
        <v>219</v>
      </c>
      <c r="H320" s="4">
        <v>7</v>
      </c>
      <c r="I320" s="5">
        <v>46138</v>
      </c>
      <c r="J320" s="5">
        <v>46140</v>
      </c>
      <c r="K320" s="6" t="s">
        <v>20</v>
      </c>
      <c r="L320" s="28">
        <f>F320*G320*(1-H320/100)</f>
        <v>3258.72</v>
      </c>
    </row>
    <row r="321" spans="1:12" ht="15.6" x14ac:dyDescent="0.3">
      <c r="A321" s="3">
        <v>1247</v>
      </c>
      <c r="B321" s="4" t="s">
        <v>26</v>
      </c>
      <c r="C321" s="4" t="s">
        <v>12</v>
      </c>
      <c r="D321" s="4" t="s">
        <v>13</v>
      </c>
      <c r="E321" s="4" t="s">
        <v>50</v>
      </c>
      <c r="F321" s="4">
        <v>10</v>
      </c>
      <c r="G321" s="4">
        <v>336</v>
      </c>
      <c r="H321" s="4">
        <v>7</v>
      </c>
      <c r="I321" s="5">
        <v>46173</v>
      </c>
      <c r="J321" s="5">
        <v>46175</v>
      </c>
      <c r="K321" s="6" t="s">
        <v>20</v>
      </c>
      <c r="L321" s="28">
        <f>F321*G321*(1-H321/100)</f>
        <v>3124.7999999999997</v>
      </c>
    </row>
    <row r="322" spans="1:12" ht="15.6" x14ac:dyDescent="0.3">
      <c r="A322" s="3">
        <v>1261</v>
      </c>
      <c r="B322" s="4" t="s">
        <v>40</v>
      </c>
      <c r="C322" s="4" t="s">
        <v>17</v>
      </c>
      <c r="D322" s="4" t="s">
        <v>13</v>
      </c>
      <c r="E322" s="4" t="s">
        <v>50</v>
      </c>
      <c r="F322" s="4">
        <v>20</v>
      </c>
      <c r="G322" s="4">
        <v>162</v>
      </c>
      <c r="H322" s="4">
        <v>7</v>
      </c>
      <c r="I322" s="5">
        <v>46119</v>
      </c>
      <c r="J322" s="5">
        <v>46120</v>
      </c>
      <c r="K322" s="6" t="s">
        <v>51</v>
      </c>
      <c r="L322" s="28">
        <f>F322*G322*(1-H322/100)</f>
        <v>3013.2</v>
      </c>
    </row>
    <row r="323" spans="1:12" ht="15.6" x14ac:dyDescent="0.3">
      <c r="A323" s="3">
        <v>1332</v>
      </c>
      <c r="B323" s="4" t="s">
        <v>29</v>
      </c>
      <c r="C323" s="4" t="s">
        <v>43</v>
      </c>
      <c r="D323" s="4" t="s">
        <v>13</v>
      </c>
      <c r="E323" s="4" t="s">
        <v>50</v>
      </c>
      <c r="F323" s="4">
        <v>7</v>
      </c>
      <c r="G323" s="4">
        <v>439</v>
      </c>
      <c r="H323" s="4">
        <v>2</v>
      </c>
      <c r="I323" s="5">
        <v>46154</v>
      </c>
      <c r="J323" s="5">
        <v>46157</v>
      </c>
      <c r="K323" s="6" t="s">
        <v>15</v>
      </c>
      <c r="L323" s="28">
        <f>F323*G323*(1-H323/100)</f>
        <v>3011.54</v>
      </c>
    </row>
    <row r="324" spans="1:12" ht="15.6" x14ac:dyDescent="0.3">
      <c r="A324" s="3">
        <v>1036</v>
      </c>
      <c r="B324" s="4" t="s">
        <v>11</v>
      </c>
      <c r="C324" s="4" t="s">
        <v>25</v>
      </c>
      <c r="D324" s="4" t="s">
        <v>13</v>
      </c>
      <c r="E324" s="4" t="s">
        <v>36</v>
      </c>
      <c r="F324" s="4">
        <v>20</v>
      </c>
      <c r="G324" s="4">
        <v>161</v>
      </c>
      <c r="H324" s="4">
        <v>7</v>
      </c>
      <c r="I324" s="5">
        <v>46071</v>
      </c>
      <c r="J324" s="5">
        <v>46077</v>
      </c>
      <c r="K324" s="6" t="s">
        <v>24</v>
      </c>
      <c r="L324" s="28">
        <f>F324*G324*(1-H324/100)</f>
        <v>2994.6</v>
      </c>
    </row>
    <row r="325" spans="1:12" ht="15.6" x14ac:dyDescent="0.3">
      <c r="A325" s="3">
        <v>1100</v>
      </c>
      <c r="B325" s="4" t="s">
        <v>11</v>
      </c>
      <c r="C325" s="4" t="s">
        <v>31</v>
      </c>
      <c r="D325" s="4" t="s">
        <v>13</v>
      </c>
      <c r="E325" s="4" t="s">
        <v>14</v>
      </c>
      <c r="F325" s="4">
        <v>11</v>
      </c>
      <c r="G325" s="4">
        <v>296</v>
      </c>
      <c r="H325" s="4">
        <v>10</v>
      </c>
      <c r="I325" s="5">
        <v>46027</v>
      </c>
      <c r="J325" s="5">
        <v>46031</v>
      </c>
      <c r="K325" s="6" t="s">
        <v>51</v>
      </c>
      <c r="L325" s="28">
        <f>F325*G325*(1-H325/100)</f>
        <v>2930.4</v>
      </c>
    </row>
    <row r="326" spans="1:12" ht="15.6" x14ac:dyDescent="0.3">
      <c r="A326" s="3">
        <v>1353</v>
      </c>
      <c r="B326" s="4" t="s">
        <v>47</v>
      </c>
      <c r="C326" s="4" t="s">
        <v>43</v>
      </c>
      <c r="D326" s="4" t="s">
        <v>13</v>
      </c>
      <c r="E326" s="4" t="s">
        <v>14</v>
      </c>
      <c r="F326" s="4">
        <v>6</v>
      </c>
      <c r="G326" s="4">
        <v>495</v>
      </c>
      <c r="H326" s="4">
        <v>2</v>
      </c>
      <c r="I326" s="5">
        <v>46194</v>
      </c>
      <c r="J326" s="5">
        <v>46200</v>
      </c>
      <c r="K326" s="6" t="s">
        <v>24</v>
      </c>
      <c r="L326" s="28">
        <f>F326*G326*(1-H326/100)</f>
        <v>2910.6</v>
      </c>
    </row>
    <row r="327" spans="1:12" ht="15.6" x14ac:dyDescent="0.3">
      <c r="A327" s="3">
        <v>1173</v>
      </c>
      <c r="B327" s="4" t="s">
        <v>40</v>
      </c>
      <c r="C327" s="4" t="s">
        <v>17</v>
      </c>
      <c r="D327" s="4" t="s">
        <v>13</v>
      </c>
      <c r="E327" s="4" t="s">
        <v>37</v>
      </c>
      <c r="F327" s="4">
        <v>15</v>
      </c>
      <c r="G327" s="4">
        <v>214</v>
      </c>
      <c r="H327" s="4">
        <v>10</v>
      </c>
      <c r="I327" s="5">
        <v>46050</v>
      </c>
      <c r="J327" s="5">
        <v>46060</v>
      </c>
      <c r="K327" s="6" t="s">
        <v>51</v>
      </c>
      <c r="L327" s="28">
        <f>F327*G327*(1-H327/100)</f>
        <v>2889</v>
      </c>
    </row>
    <row r="328" spans="1:12" ht="15.6" x14ac:dyDescent="0.3">
      <c r="A328" s="3">
        <v>1055</v>
      </c>
      <c r="B328" s="4" t="s">
        <v>48</v>
      </c>
      <c r="C328" s="4" t="s">
        <v>12</v>
      </c>
      <c r="D328" s="4" t="s">
        <v>13</v>
      </c>
      <c r="E328" s="4" t="s">
        <v>37</v>
      </c>
      <c r="F328" s="4">
        <v>18</v>
      </c>
      <c r="G328" s="4">
        <v>185</v>
      </c>
      <c r="H328" s="4">
        <v>15</v>
      </c>
      <c r="I328" s="5">
        <v>46077</v>
      </c>
      <c r="J328" s="5">
        <v>46078</v>
      </c>
      <c r="K328" s="6" t="s">
        <v>15</v>
      </c>
      <c r="L328" s="28">
        <f>F328*G328*(1-H328/100)</f>
        <v>2830.5</v>
      </c>
    </row>
    <row r="329" spans="1:12" ht="15.6" x14ac:dyDescent="0.3">
      <c r="A329" s="3">
        <v>1348</v>
      </c>
      <c r="B329" s="4" t="s">
        <v>11</v>
      </c>
      <c r="C329" s="4" t="s">
        <v>33</v>
      </c>
      <c r="D329" s="4" t="s">
        <v>13</v>
      </c>
      <c r="E329" s="4" t="s">
        <v>50</v>
      </c>
      <c r="F329" s="4">
        <v>12</v>
      </c>
      <c r="G329" s="4">
        <v>244</v>
      </c>
      <c r="H329" s="4">
        <v>7</v>
      </c>
      <c r="I329" s="5">
        <v>46048</v>
      </c>
      <c r="J329" s="5">
        <v>46053</v>
      </c>
      <c r="K329" s="6" t="s">
        <v>15</v>
      </c>
      <c r="L329" s="28">
        <f>F329*G329*(1-H329/100)</f>
        <v>2723.04</v>
      </c>
    </row>
    <row r="330" spans="1:12" ht="15.6" x14ac:dyDescent="0.3">
      <c r="A330" s="3">
        <v>1007</v>
      </c>
      <c r="B330" s="4" t="s">
        <v>21</v>
      </c>
      <c r="C330" s="4" t="s">
        <v>22</v>
      </c>
      <c r="D330" s="4" t="s">
        <v>13</v>
      </c>
      <c r="E330" s="4" t="s">
        <v>14</v>
      </c>
      <c r="F330" s="4">
        <v>19</v>
      </c>
      <c r="G330" s="4">
        <v>149</v>
      </c>
      <c r="H330" s="4">
        <v>7</v>
      </c>
      <c r="I330" s="5">
        <v>46162</v>
      </c>
      <c r="J330" s="5">
        <v>46168</v>
      </c>
      <c r="K330" s="6" t="s">
        <v>24</v>
      </c>
      <c r="L330" s="28">
        <f>F330*G330*(1-H330/100)</f>
        <v>2632.83</v>
      </c>
    </row>
    <row r="331" spans="1:12" ht="15.6" x14ac:dyDescent="0.3">
      <c r="A331" s="3">
        <v>1052</v>
      </c>
      <c r="B331" s="4" t="s">
        <v>55</v>
      </c>
      <c r="C331" s="4" t="s">
        <v>12</v>
      </c>
      <c r="D331" s="4" t="s">
        <v>13</v>
      </c>
      <c r="E331" s="4" t="s">
        <v>14</v>
      </c>
      <c r="F331" s="4">
        <v>17</v>
      </c>
      <c r="G331" s="4">
        <v>172</v>
      </c>
      <c r="H331" s="4">
        <v>10</v>
      </c>
      <c r="I331" s="5">
        <v>46159</v>
      </c>
      <c r="J331" s="5">
        <v>46165</v>
      </c>
      <c r="K331" s="6" t="s">
        <v>20</v>
      </c>
      <c r="L331" s="28">
        <f>F331*G331*(1-H331/100)</f>
        <v>2631.6</v>
      </c>
    </row>
    <row r="332" spans="1:12" ht="15.6" x14ac:dyDescent="0.3">
      <c r="A332" s="3">
        <v>1285</v>
      </c>
      <c r="B332" s="4" t="s">
        <v>32</v>
      </c>
      <c r="C332" s="4" t="s">
        <v>38</v>
      </c>
      <c r="D332" s="4" t="s">
        <v>13</v>
      </c>
      <c r="E332" s="4" t="s">
        <v>36</v>
      </c>
      <c r="F332" s="4">
        <v>7</v>
      </c>
      <c r="G332" s="4">
        <v>439</v>
      </c>
      <c r="H332" s="4">
        <v>15</v>
      </c>
      <c r="I332" s="5">
        <v>46055</v>
      </c>
      <c r="J332" s="5">
        <v>46058</v>
      </c>
      <c r="K332" s="6" t="s">
        <v>20</v>
      </c>
      <c r="L332" s="28">
        <f>F332*G332*(1-H332/100)</f>
        <v>2612.0499999999997</v>
      </c>
    </row>
    <row r="333" spans="1:12" ht="15.6" x14ac:dyDescent="0.3">
      <c r="A333" s="3">
        <v>1132</v>
      </c>
      <c r="B333" s="4" t="s">
        <v>11</v>
      </c>
      <c r="C333" s="4" t="s">
        <v>31</v>
      </c>
      <c r="D333" s="4" t="s">
        <v>13</v>
      </c>
      <c r="E333" s="4" t="s">
        <v>50</v>
      </c>
      <c r="F333" s="4">
        <v>10</v>
      </c>
      <c r="G333" s="4">
        <v>270</v>
      </c>
      <c r="H333" s="4">
        <v>7</v>
      </c>
      <c r="I333" s="5">
        <v>46024</v>
      </c>
      <c r="J333" s="5">
        <v>46034</v>
      </c>
      <c r="K333" s="6" t="s">
        <v>24</v>
      </c>
      <c r="L333" s="28">
        <f>F333*G333*(1-H333/100)</f>
        <v>2511</v>
      </c>
    </row>
    <row r="334" spans="1:12" ht="15.6" x14ac:dyDescent="0.3">
      <c r="A334" s="3">
        <v>1115</v>
      </c>
      <c r="B334" s="4" t="s">
        <v>59</v>
      </c>
      <c r="C334" s="4" t="s">
        <v>43</v>
      </c>
      <c r="D334" s="4" t="s">
        <v>13</v>
      </c>
      <c r="E334" s="4" t="s">
        <v>50</v>
      </c>
      <c r="F334" s="4">
        <v>9</v>
      </c>
      <c r="G334" s="4">
        <v>303</v>
      </c>
      <c r="H334" s="4">
        <v>10</v>
      </c>
      <c r="I334" s="5">
        <v>46149</v>
      </c>
      <c r="J334" s="5">
        <v>46157</v>
      </c>
      <c r="K334" s="6" t="s">
        <v>29</v>
      </c>
      <c r="L334" s="28">
        <f>F334*G334*(1-H334/100)</f>
        <v>2454.3000000000002</v>
      </c>
    </row>
    <row r="335" spans="1:12" ht="15.6" x14ac:dyDescent="0.3">
      <c r="A335" s="3">
        <v>1352</v>
      </c>
      <c r="B335" s="4" t="s">
        <v>54</v>
      </c>
      <c r="C335" s="4" t="s">
        <v>22</v>
      </c>
      <c r="D335" s="4" t="s">
        <v>13</v>
      </c>
      <c r="E335" s="4" t="s">
        <v>14</v>
      </c>
      <c r="F335" s="4">
        <v>12</v>
      </c>
      <c r="G335" s="4">
        <v>203</v>
      </c>
      <c r="H335" s="4">
        <v>5</v>
      </c>
      <c r="I335" s="5">
        <v>46024</v>
      </c>
      <c r="J335" s="5">
        <v>46033</v>
      </c>
      <c r="K335" s="6" t="s">
        <v>15</v>
      </c>
      <c r="L335" s="28">
        <f>F335*G335*(1-H335/100)</f>
        <v>2314.1999999999998</v>
      </c>
    </row>
    <row r="336" spans="1:12" ht="15.6" x14ac:dyDescent="0.3">
      <c r="A336" s="3">
        <v>1201</v>
      </c>
      <c r="B336" s="4" t="s">
        <v>54</v>
      </c>
      <c r="C336" s="4" t="s">
        <v>31</v>
      </c>
      <c r="D336" s="4" t="s">
        <v>13</v>
      </c>
      <c r="E336" s="4" t="s">
        <v>53</v>
      </c>
      <c r="F336" s="4">
        <v>18</v>
      </c>
      <c r="G336" s="4">
        <v>139</v>
      </c>
      <c r="H336" s="4">
        <v>12</v>
      </c>
      <c r="I336" s="5">
        <v>46075</v>
      </c>
      <c r="J336" s="5">
        <v>46076</v>
      </c>
      <c r="K336" s="6" t="s">
        <v>20</v>
      </c>
      <c r="L336" s="28">
        <f>F336*G336*(1-H336/100)</f>
        <v>2201.7600000000002</v>
      </c>
    </row>
    <row r="337" spans="1:12" ht="15.6" x14ac:dyDescent="0.3">
      <c r="A337" s="3">
        <v>1171</v>
      </c>
      <c r="B337" s="4" t="s">
        <v>57</v>
      </c>
      <c r="C337" s="4" t="s">
        <v>25</v>
      </c>
      <c r="D337" s="4" t="s">
        <v>13</v>
      </c>
      <c r="E337" s="4" t="s">
        <v>50</v>
      </c>
      <c r="F337" s="4">
        <v>17</v>
      </c>
      <c r="G337" s="4">
        <v>147</v>
      </c>
      <c r="H337" s="4">
        <v>12</v>
      </c>
      <c r="I337" s="5">
        <v>46155</v>
      </c>
      <c r="J337" s="5">
        <v>46160</v>
      </c>
      <c r="K337" s="6" t="s">
        <v>20</v>
      </c>
      <c r="L337" s="28">
        <f>F337*G337*(1-H337/100)</f>
        <v>2199.12</v>
      </c>
    </row>
    <row r="338" spans="1:12" ht="15.6" x14ac:dyDescent="0.3">
      <c r="A338" s="3">
        <v>1070</v>
      </c>
      <c r="B338" s="4" t="s">
        <v>52</v>
      </c>
      <c r="C338" s="4" t="s">
        <v>43</v>
      </c>
      <c r="D338" s="4" t="s">
        <v>13</v>
      </c>
      <c r="E338" s="4" t="s">
        <v>36</v>
      </c>
      <c r="F338" s="4">
        <v>10</v>
      </c>
      <c r="G338" s="4">
        <v>233</v>
      </c>
      <c r="H338" s="4">
        <v>7</v>
      </c>
      <c r="I338" s="5">
        <v>46076</v>
      </c>
      <c r="J338" s="5">
        <v>46077</v>
      </c>
      <c r="K338" s="6" t="s">
        <v>29</v>
      </c>
      <c r="L338" s="28">
        <f>F338*G338*(1-H338/100)</f>
        <v>2166.8999999999996</v>
      </c>
    </row>
    <row r="339" spans="1:12" ht="15.6" x14ac:dyDescent="0.3">
      <c r="A339" s="3">
        <v>1255</v>
      </c>
      <c r="B339" s="4" t="s">
        <v>32</v>
      </c>
      <c r="C339" s="4" t="s">
        <v>17</v>
      </c>
      <c r="D339" s="4" t="s">
        <v>18</v>
      </c>
      <c r="E339" s="4" t="s">
        <v>19</v>
      </c>
      <c r="F339" s="4">
        <v>1</v>
      </c>
      <c r="G339" s="4">
        <v>2240</v>
      </c>
      <c r="H339" s="4">
        <v>5</v>
      </c>
      <c r="I339" s="5">
        <v>46091</v>
      </c>
      <c r="J339" s="5">
        <v>46095</v>
      </c>
      <c r="K339" s="6" t="s">
        <v>20</v>
      </c>
      <c r="L339" s="28">
        <f>F339*G339*(1-H339/100)</f>
        <v>2128</v>
      </c>
    </row>
    <row r="340" spans="1:12" ht="15.6" x14ac:dyDescent="0.3">
      <c r="A340" s="3">
        <v>1236</v>
      </c>
      <c r="B340" s="4" t="s">
        <v>54</v>
      </c>
      <c r="C340" s="4" t="s">
        <v>43</v>
      </c>
      <c r="D340" s="4" t="s">
        <v>13</v>
      </c>
      <c r="E340" s="4" t="s">
        <v>37</v>
      </c>
      <c r="F340" s="4">
        <v>12</v>
      </c>
      <c r="G340" s="4">
        <v>189</v>
      </c>
      <c r="H340" s="4">
        <v>7</v>
      </c>
      <c r="I340" s="5">
        <v>46164</v>
      </c>
      <c r="J340" s="5">
        <v>46169</v>
      </c>
      <c r="K340" s="6" t="s">
        <v>29</v>
      </c>
      <c r="L340" s="28">
        <f>F340*G340*(1-H340/100)</f>
        <v>2109.2399999999998</v>
      </c>
    </row>
    <row r="341" spans="1:12" ht="15.6" x14ac:dyDescent="0.3">
      <c r="A341" s="3">
        <v>1357</v>
      </c>
      <c r="B341" s="4" t="s">
        <v>59</v>
      </c>
      <c r="C341" s="4" t="s">
        <v>25</v>
      </c>
      <c r="D341" s="4" t="s">
        <v>13</v>
      </c>
      <c r="E341" s="4" t="s">
        <v>37</v>
      </c>
      <c r="F341" s="4">
        <v>6</v>
      </c>
      <c r="G341" s="4">
        <v>365</v>
      </c>
      <c r="H341" s="4">
        <v>7</v>
      </c>
      <c r="I341" s="5">
        <v>46133</v>
      </c>
      <c r="J341" s="5">
        <v>46140</v>
      </c>
      <c r="K341" s="6" t="s">
        <v>51</v>
      </c>
      <c r="L341" s="28">
        <f>F341*G341*(1-H341/100)</f>
        <v>2036.6999999999998</v>
      </c>
    </row>
    <row r="342" spans="1:12" ht="15.6" x14ac:dyDescent="0.3">
      <c r="A342" s="3">
        <v>1059</v>
      </c>
      <c r="B342" s="4" t="s">
        <v>54</v>
      </c>
      <c r="C342" s="4" t="s">
        <v>25</v>
      </c>
      <c r="D342" s="4" t="s">
        <v>13</v>
      </c>
      <c r="E342" s="4" t="s">
        <v>50</v>
      </c>
      <c r="F342" s="4">
        <v>20</v>
      </c>
      <c r="G342" s="4">
        <v>112</v>
      </c>
      <c r="H342" s="4">
        <v>10</v>
      </c>
      <c r="I342" s="5">
        <v>46113</v>
      </c>
      <c r="J342" s="5">
        <v>46122</v>
      </c>
      <c r="K342" s="6" t="s">
        <v>51</v>
      </c>
      <c r="L342" s="28">
        <f>F342*G342*(1-H342/100)</f>
        <v>2016</v>
      </c>
    </row>
    <row r="343" spans="1:12" ht="15.6" x14ac:dyDescent="0.3">
      <c r="A343" s="3">
        <v>1156</v>
      </c>
      <c r="B343" s="4" t="s">
        <v>54</v>
      </c>
      <c r="C343" s="4" t="s">
        <v>38</v>
      </c>
      <c r="D343" s="4" t="s">
        <v>13</v>
      </c>
      <c r="E343" s="4" t="s">
        <v>36</v>
      </c>
      <c r="F343" s="4">
        <v>5</v>
      </c>
      <c r="G343" s="4">
        <v>466</v>
      </c>
      <c r="H343" s="4">
        <v>15</v>
      </c>
      <c r="I343" s="5">
        <v>46025</v>
      </c>
      <c r="J343" s="5">
        <v>46029</v>
      </c>
      <c r="K343" s="6" t="s">
        <v>15</v>
      </c>
      <c r="L343" s="28">
        <f>F343*G343*(1-H343/100)</f>
        <v>1980.5</v>
      </c>
    </row>
    <row r="344" spans="1:12" ht="15.6" x14ac:dyDescent="0.3">
      <c r="A344" s="3">
        <v>1174</v>
      </c>
      <c r="B344" s="4" t="s">
        <v>58</v>
      </c>
      <c r="C344" s="4" t="s">
        <v>38</v>
      </c>
      <c r="D344" s="4" t="s">
        <v>13</v>
      </c>
      <c r="E344" s="4" t="s">
        <v>14</v>
      </c>
      <c r="F344" s="4">
        <v>13</v>
      </c>
      <c r="G344" s="4">
        <v>155</v>
      </c>
      <c r="H344" s="4">
        <v>2</v>
      </c>
      <c r="I344" s="5">
        <v>46066</v>
      </c>
      <c r="J344" s="5">
        <v>46069</v>
      </c>
      <c r="K344" s="6" t="s">
        <v>24</v>
      </c>
      <c r="L344" s="28">
        <f>F344*G344*(1-H344/100)</f>
        <v>1974.7</v>
      </c>
    </row>
    <row r="345" spans="1:12" ht="15.6" x14ac:dyDescent="0.3">
      <c r="A345" s="3">
        <v>1365</v>
      </c>
      <c r="B345" s="4" t="s">
        <v>46</v>
      </c>
      <c r="C345" s="4" t="s">
        <v>33</v>
      </c>
      <c r="D345" s="4" t="s">
        <v>13</v>
      </c>
      <c r="E345" s="4" t="s">
        <v>50</v>
      </c>
      <c r="F345" s="4">
        <v>17</v>
      </c>
      <c r="G345" s="4">
        <v>119</v>
      </c>
      <c r="H345" s="4">
        <v>7</v>
      </c>
      <c r="I345" s="5">
        <v>46070</v>
      </c>
      <c r="J345" s="5">
        <v>46072</v>
      </c>
      <c r="K345" s="6" t="s">
        <v>20</v>
      </c>
      <c r="L345" s="28">
        <f>F345*G345*(1-H345/100)</f>
        <v>1881.3899999999999</v>
      </c>
    </row>
    <row r="346" spans="1:12" ht="15.6" x14ac:dyDescent="0.3">
      <c r="A346" s="3">
        <v>1248</v>
      </c>
      <c r="B346" s="4" t="s">
        <v>27</v>
      </c>
      <c r="C346" s="4" t="s">
        <v>43</v>
      </c>
      <c r="D346" s="4" t="s">
        <v>13</v>
      </c>
      <c r="E346" s="4" t="s">
        <v>37</v>
      </c>
      <c r="F346" s="4">
        <v>5</v>
      </c>
      <c r="G346" s="4">
        <v>398</v>
      </c>
      <c r="H346" s="4">
        <v>7</v>
      </c>
      <c r="I346" s="5">
        <v>46161</v>
      </c>
      <c r="J346" s="5">
        <v>46171</v>
      </c>
      <c r="K346" s="6" t="s">
        <v>29</v>
      </c>
      <c r="L346" s="28">
        <f>F346*G346*(1-H346/100)</f>
        <v>1850.6999999999998</v>
      </c>
    </row>
    <row r="347" spans="1:12" ht="15.6" x14ac:dyDescent="0.3">
      <c r="A347" s="3">
        <v>1170</v>
      </c>
      <c r="B347" s="4" t="s">
        <v>49</v>
      </c>
      <c r="C347" s="4" t="s">
        <v>38</v>
      </c>
      <c r="D347" s="4" t="s">
        <v>13</v>
      </c>
      <c r="E347" s="4" t="s">
        <v>14</v>
      </c>
      <c r="F347" s="4">
        <v>6</v>
      </c>
      <c r="G347" s="4">
        <v>339</v>
      </c>
      <c r="H347" s="4">
        <v>12</v>
      </c>
      <c r="I347" s="5">
        <v>46105</v>
      </c>
      <c r="J347" s="5">
        <v>46106</v>
      </c>
      <c r="K347" s="6" t="s">
        <v>24</v>
      </c>
      <c r="L347" s="28">
        <f>F347*G347*(1-H347/100)</f>
        <v>1789.92</v>
      </c>
    </row>
    <row r="348" spans="1:12" ht="15.6" x14ac:dyDescent="0.3">
      <c r="A348" s="3">
        <v>1339</v>
      </c>
      <c r="B348" s="4" t="s">
        <v>32</v>
      </c>
      <c r="C348" s="4" t="s">
        <v>25</v>
      </c>
      <c r="D348" s="4" t="s">
        <v>13</v>
      </c>
      <c r="E348" s="4" t="s">
        <v>14</v>
      </c>
      <c r="F348" s="4">
        <v>6</v>
      </c>
      <c r="G348" s="4">
        <v>302</v>
      </c>
      <c r="H348" s="4">
        <v>5</v>
      </c>
      <c r="I348" s="5">
        <v>46142</v>
      </c>
      <c r="J348" s="5">
        <v>46148</v>
      </c>
      <c r="K348" s="6" t="s">
        <v>20</v>
      </c>
      <c r="L348" s="28">
        <f>F348*G348*(1-H348/100)</f>
        <v>1721.3999999999999</v>
      </c>
    </row>
    <row r="349" spans="1:12" ht="15.6" x14ac:dyDescent="0.3">
      <c r="A349" s="3">
        <v>1207</v>
      </c>
      <c r="B349" s="4" t="s">
        <v>55</v>
      </c>
      <c r="C349" s="4" t="s">
        <v>25</v>
      </c>
      <c r="D349" s="4" t="s">
        <v>13</v>
      </c>
      <c r="E349" s="4" t="s">
        <v>53</v>
      </c>
      <c r="F349" s="4">
        <v>7</v>
      </c>
      <c r="G349" s="4">
        <v>244</v>
      </c>
      <c r="H349" s="4">
        <v>2</v>
      </c>
      <c r="I349" s="5">
        <v>46164</v>
      </c>
      <c r="J349" s="5">
        <v>46173</v>
      </c>
      <c r="K349" s="6" t="s">
        <v>24</v>
      </c>
      <c r="L349" s="28">
        <f>F349*G349*(1-H349/100)</f>
        <v>1673.84</v>
      </c>
    </row>
    <row r="350" spans="1:12" ht="15.6" x14ac:dyDescent="0.3">
      <c r="A350" s="3">
        <v>1281</v>
      </c>
      <c r="B350" s="4" t="s">
        <v>55</v>
      </c>
      <c r="C350" s="4" t="s">
        <v>17</v>
      </c>
      <c r="D350" s="4" t="s">
        <v>13</v>
      </c>
      <c r="E350" s="4" t="s">
        <v>50</v>
      </c>
      <c r="F350" s="4">
        <v>6</v>
      </c>
      <c r="G350" s="4">
        <v>253</v>
      </c>
      <c r="H350" s="4">
        <v>0</v>
      </c>
      <c r="I350" s="5">
        <v>46055</v>
      </c>
      <c r="J350" s="5">
        <v>46063</v>
      </c>
      <c r="K350" s="6" t="s">
        <v>24</v>
      </c>
      <c r="L350" s="28">
        <f>F350*G350*(1-H350/100)</f>
        <v>1518</v>
      </c>
    </row>
    <row r="351" spans="1:12" ht="15.6" x14ac:dyDescent="0.3">
      <c r="A351" s="3">
        <v>1083</v>
      </c>
      <c r="B351" s="4" t="s">
        <v>55</v>
      </c>
      <c r="C351" s="4" t="s">
        <v>33</v>
      </c>
      <c r="D351" s="4" t="s">
        <v>13</v>
      </c>
      <c r="E351" s="4" t="s">
        <v>53</v>
      </c>
      <c r="F351" s="4">
        <v>4</v>
      </c>
      <c r="G351" s="4">
        <v>397</v>
      </c>
      <c r="H351" s="4">
        <v>7</v>
      </c>
      <c r="I351" s="5">
        <v>46185</v>
      </c>
      <c r="J351" s="5">
        <v>46193</v>
      </c>
      <c r="K351" s="6" t="s">
        <v>15</v>
      </c>
      <c r="L351" s="28">
        <f>F351*G351*(1-H351/100)</f>
        <v>1476.84</v>
      </c>
    </row>
    <row r="352" spans="1:12" ht="15.6" x14ac:dyDescent="0.3">
      <c r="A352" s="3">
        <v>1021</v>
      </c>
      <c r="B352" s="4" t="s">
        <v>48</v>
      </c>
      <c r="C352" s="4" t="s">
        <v>43</v>
      </c>
      <c r="D352" s="4" t="s">
        <v>13</v>
      </c>
      <c r="E352" s="4" t="s">
        <v>14</v>
      </c>
      <c r="F352" s="4">
        <v>3</v>
      </c>
      <c r="G352" s="4">
        <v>484</v>
      </c>
      <c r="H352" s="4">
        <v>2</v>
      </c>
      <c r="I352" s="5">
        <v>46144</v>
      </c>
      <c r="J352" s="5">
        <v>46148</v>
      </c>
      <c r="K352" s="6" t="s">
        <v>24</v>
      </c>
      <c r="L352" s="28">
        <f>F352*G352*(1-H352/100)</f>
        <v>1422.96</v>
      </c>
    </row>
    <row r="353" spans="1:12" ht="15.6" x14ac:dyDescent="0.3">
      <c r="A353" s="3">
        <v>1181</v>
      </c>
      <c r="B353" s="4" t="s">
        <v>58</v>
      </c>
      <c r="C353" s="4" t="s">
        <v>33</v>
      </c>
      <c r="D353" s="4" t="s">
        <v>13</v>
      </c>
      <c r="E353" s="4" t="s">
        <v>36</v>
      </c>
      <c r="F353" s="4">
        <v>4</v>
      </c>
      <c r="G353" s="4">
        <v>357</v>
      </c>
      <c r="H353" s="4">
        <v>2</v>
      </c>
      <c r="I353" s="5">
        <v>46033</v>
      </c>
      <c r="J353" s="5">
        <v>46035</v>
      </c>
      <c r="K353" s="6" t="s">
        <v>15</v>
      </c>
      <c r="L353" s="28">
        <f>F353*G353*(1-H353/100)</f>
        <v>1399.44</v>
      </c>
    </row>
    <row r="354" spans="1:12" ht="15.6" x14ac:dyDescent="0.3">
      <c r="A354" s="3">
        <v>1394</v>
      </c>
      <c r="B354" s="4" t="s">
        <v>54</v>
      </c>
      <c r="C354" s="4" t="s">
        <v>12</v>
      </c>
      <c r="D354" s="4" t="s">
        <v>13</v>
      </c>
      <c r="E354" s="4" t="s">
        <v>14</v>
      </c>
      <c r="F354" s="4">
        <v>10</v>
      </c>
      <c r="G354" s="4">
        <v>138</v>
      </c>
      <c r="H354" s="4">
        <v>2</v>
      </c>
      <c r="I354" s="5">
        <v>46056</v>
      </c>
      <c r="J354" s="5">
        <v>46057</v>
      </c>
      <c r="K354" s="6" t="s">
        <v>15</v>
      </c>
      <c r="L354" s="28">
        <f>F354*G354*(1-H354/100)</f>
        <v>1352.3999999999999</v>
      </c>
    </row>
    <row r="355" spans="1:12" ht="15.6" x14ac:dyDescent="0.3">
      <c r="A355" s="3">
        <v>1379</v>
      </c>
      <c r="B355" s="4" t="s">
        <v>47</v>
      </c>
      <c r="C355" s="4" t="s">
        <v>17</v>
      </c>
      <c r="D355" s="4" t="s">
        <v>13</v>
      </c>
      <c r="E355" s="4" t="s">
        <v>14</v>
      </c>
      <c r="F355" s="4">
        <v>11</v>
      </c>
      <c r="G355" s="4">
        <v>136</v>
      </c>
      <c r="H355" s="4">
        <v>15</v>
      </c>
      <c r="I355" s="5">
        <v>46106</v>
      </c>
      <c r="J355" s="5">
        <v>46107</v>
      </c>
      <c r="K355" s="6" t="s">
        <v>20</v>
      </c>
      <c r="L355" s="28">
        <f>F355*G355*(1-H355/100)</f>
        <v>1271.5999999999999</v>
      </c>
    </row>
    <row r="356" spans="1:12" ht="15.6" x14ac:dyDescent="0.3">
      <c r="A356" s="3">
        <v>1005</v>
      </c>
      <c r="B356" s="4" t="s">
        <v>26</v>
      </c>
      <c r="C356" s="4" t="s">
        <v>17</v>
      </c>
      <c r="D356" s="4" t="s">
        <v>13</v>
      </c>
      <c r="E356" s="4" t="s">
        <v>14</v>
      </c>
      <c r="F356" s="4">
        <v>18</v>
      </c>
      <c r="G356" s="4">
        <v>70</v>
      </c>
      <c r="H356" s="4">
        <v>0</v>
      </c>
      <c r="I356" s="5">
        <v>46171</v>
      </c>
      <c r="J356" s="5">
        <v>46179</v>
      </c>
      <c r="K356" s="6" t="s">
        <v>24</v>
      </c>
      <c r="L356" s="28">
        <f>F356*G356*(1-H356/100)</f>
        <v>1260</v>
      </c>
    </row>
    <row r="357" spans="1:12" ht="15.6" x14ac:dyDescent="0.3">
      <c r="A357" s="3">
        <v>1017</v>
      </c>
      <c r="B357" s="4" t="s">
        <v>46</v>
      </c>
      <c r="C357" s="4" t="s">
        <v>38</v>
      </c>
      <c r="D357" s="4" t="s">
        <v>13</v>
      </c>
      <c r="E357" s="4" t="s">
        <v>36</v>
      </c>
      <c r="F357" s="4">
        <v>8</v>
      </c>
      <c r="G357" s="4">
        <v>179</v>
      </c>
      <c r="H357" s="4">
        <v>15</v>
      </c>
      <c r="I357" s="5">
        <v>46082</v>
      </c>
      <c r="J357" s="5">
        <v>46084</v>
      </c>
      <c r="K357" s="6" t="s">
        <v>15</v>
      </c>
      <c r="L357" s="28">
        <f>F357*G357*(1-H357/100)</f>
        <v>1217.2</v>
      </c>
    </row>
    <row r="358" spans="1:12" ht="15.6" x14ac:dyDescent="0.3">
      <c r="A358" s="3">
        <v>1296</v>
      </c>
      <c r="B358" s="4" t="s">
        <v>26</v>
      </c>
      <c r="C358" s="4" t="s">
        <v>38</v>
      </c>
      <c r="D358" s="4" t="s">
        <v>13</v>
      </c>
      <c r="E358" s="4" t="s">
        <v>50</v>
      </c>
      <c r="F358" s="4">
        <v>6</v>
      </c>
      <c r="G358" s="4">
        <v>201</v>
      </c>
      <c r="H358" s="4">
        <v>0</v>
      </c>
      <c r="I358" s="5">
        <v>46063</v>
      </c>
      <c r="J358" s="5">
        <v>46072</v>
      </c>
      <c r="K358" s="6" t="s">
        <v>51</v>
      </c>
      <c r="L358" s="28">
        <f>F358*G358*(1-H358/100)</f>
        <v>1206</v>
      </c>
    </row>
    <row r="359" spans="1:12" ht="15.6" x14ac:dyDescent="0.3">
      <c r="A359" s="3">
        <v>1380</v>
      </c>
      <c r="B359" s="4" t="s">
        <v>52</v>
      </c>
      <c r="C359" s="4" t="s">
        <v>43</v>
      </c>
      <c r="D359" s="4" t="s">
        <v>13</v>
      </c>
      <c r="E359" s="4" t="s">
        <v>53</v>
      </c>
      <c r="F359" s="4">
        <v>3</v>
      </c>
      <c r="G359" s="4">
        <v>412</v>
      </c>
      <c r="H359" s="4">
        <v>7</v>
      </c>
      <c r="I359" s="5">
        <v>46128</v>
      </c>
      <c r="J359" s="5">
        <v>46138</v>
      </c>
      <c r="K359" s="6" t="s">
        <v>24</v>
      </c>
      <c r="L359" s="28">
        <f>F359*G359*(1-H359/100)</f>
        <v>1149.48</v>
      </c>
    </row>
    <row r="360" spans="1:12" ht="15.6" x14ac:dyDescent="0.3">
      <c r="A360" s="3">
        <v>1008</v>
      </c>
      <c r="B360" s="4" t="s">
        <v>30</v>
      </c>
      <c r="C360" s="4" t="s">
        <v>31</v>
      </c>
      <c r="D360" s="4" t="s">
        <v>18</v>
      </c>
      <c r="E360" s="4" t="s">
        <v>28</v>
      </c>
      <c r="F360" s="4">
        <v>1</v>
      </c>
      <c r="G360" s="4">
        <v>1134</v>
      </c>
      <c r="H360" s="4">
        <v>0</v>
      </c>
      <c r="I360" s="5">
        <v>46033</v>
      </c>
      <c r="J360" s="5">
        <v>46041</v>
      </c>
      <c r="K360" s="6" t="s">
        <v>24</v>
      </c>
      <c r="L360" s="28">
        <f>F360*G360*(1-H360/100)</f>
        <v>1134</v>
      </c>
    </row>
    <row r="361" spans="1:12" ht="15.6" x14ac:dyDescent="0.3">
      <c r="A361" s="3">
        <v>1399</v>
      </c>
      <c r="B361" s="4" t="s">
        <v>48</v>
      </c>
      <c r="C361" s="4" t="s">
        <v>31</v>
      </c>
      <c r="D361" s="4" t="s">
        <v>13</v>
      </c>
      <c r="E361" s="4" t="s">
        <v>14</v>
      </c>
      <c r="F361" s="4">
        <v>15</v>
      </c>
      <c r="G361" s="4">
        <v>87</v>
      </c>
      <c r="H361" s="4">
        <v>15</v>
      </c>
      <c r="I361" s="5">
        <v>46089</v>
      </c>
      <c r="J361" s="5">
        <v>46093</v>
      </c>
      <c r="K361" s="6" t="s">
        <v>20</v>
      </c>
      <c r="L361" s="28">
        <f>F361*G361*(1-H361/100)</f>
        <v>1109.25</v>
      </c>
    </row>
    <row r="362" spans="1:12" ht="15.6" x14ac:dyDescent="0.3">
      <c r="A362" s="3">
        <v>1011</v>
      </c>
      <c r="B362" s="4" t="s">
        <v>11</v>
      </c>
      <c r="C362" s="4" t="s">
        <v>17</v>
      </c>
      <c r="D362" s="4" t="s">
        <v>13</v>
      </c>
      <c r="E362" s="4" t="s">
        <v>37</v>
      </c>
      <c r="F362" s="4">
        <v>14</v>
      </c>
      <c r="G362" s="4">
        <v>88</v>
      </c>
      <c r="H362" s="4">
        <v>12</v>
      </c>
      <c r="I362" s="5">
        <v>46161</v>
      </c>
      <c r="J362" s="5">
        <v>46163</v>
      </c>
      <c r="K362" s="6" t="s">
        <v>15</v>
      </c>
      <c r="L362" s="28">
        <f>F362*G362*(1-H362/100)</f>
        <v>1084.1600000000001</v>
      </c>
    </row>
    <row r="363" spans="1:12" ht="15.6" x14ac:dyDescent="0.3">
      <c r="A363" s="3">
        <v>1217</v>
      </c>
      <c r="B363" s="4" t="s">
        <v>30</v>
      </c>
      <c r="C363" s="4" t="s">
        <v>22</v>
      </c>
      <c r="D363" s="4" t="s">
        <v>13</v>
      </c>
      <c r="E363" s="4" t="s">
        <v>50</v>
      </c>
      <c r="F363" s="4">
        <v>18</v>
      </c>
      <c r="G363" s="4">
        <v>60</v>
      </c>
      <c r="H363" s="4">
        <v>0</v>
      </c>
      <c r="I363" s="5">
        <v>46171</v>
      </c>
      <c r="J363" s="5">
        <v>46172</v>
      </c>
      <c r="K363" s="6" t="s">
        <v>29</v>
      </c>
      <c r="L363" s="28">
        <f>F363*G363*(1-H363/100)</f>
        <v>1080</v>
      </c>
    </row>
    <row r="364" spans="1:12" ht="15.6" x14ac:dyDescent="0.3">
      <c r="A364" s="3">
        <v>1242</v>
      </c>
      <c r="B364" s="4" t="s">
        <v>54</v>
      </c>
      <c r="C364" s="4" t="s">
        <v>38</v>
      </c>
      <c r="D364" s="4" t="s">
        <v>13</v>
      </c>
      <c r="E364" s="4" t="s">
        <v>50</v>
      </c>
      <c r="F364" s="4">
        <v>7</v>
      </c>
      <c r="G364" s="4">
        <v>168</v>
      </c>
      <c r="H364" s="4">
        <v>10</v>
      </c>
      <c r="I364" s="5">
        <v>46191</v>
      </c>
      <c r="J364" s="5">
        <v>46196</v>
      </c>
      <c r="K364" s="6" t="s">
        <v>51</v>
      </c>
      <c r="L364" s="28">
        <f>F364*G364*(1-H364/100)</f>
        <v>1058.4000000000001</v>
      </c>
    </row>
    <row r="365" spans="1:12" ht="15.6" x14ac:dyDescent="0.3">
      <c r="A365" s="3">
        <v>1027</v>
      </c>
      <c r="B365" s="4" t="s">
        <v>29</v>
      </c>
      <c r="C365" s="4" t="s">
        <v>43</v>
      </c>
      <c r="D365" s="4" t="s">
        <v>13</v>
      </c>
      <c r="E365" s="4" t="s">
        <v>50</v>
      </c>
      <c r="F365" s="4">
        <v>4</v>
      </c>
      <c r="G365" s="4">
        <v>264</v>
      </c>
      <c r="H365" s="4">
        <v>0</v>
      </c>
      <c r="I365" s="5">
        <v>46155</v>
      </c>
      <c r="J365" s="5">
        <v>46161</v>
      </c>
      <c r="K365" s="6" t="s">
        <v>51</v>
      </c>
      <c r="L365" s="28">
        <f>F365*G365*(1-H365/100)</f>
        <v>1056</v>
      </c>
    </row>
    <row r="366" spans="1:12" ht="15.6" x14ac:dyDescent="0.3">
      <c r="A366" s="3">
        <v>1129</v>
      </c>
      <c r="B366" s="4" t="s">
        <v>58</v>
      </c>
      <c r="C366" s="4" t="s">
        <v>17</v>
      </c>
      <c r="D366" s="4" t="s">
        <v>13</v>
      </c>
      <c r="E366" s="4" t="s">
        <v>50</v>
      </c>
      <c r="F366" s="4">
        <v>15</v>
      </c>
      <c r="G366" s="4">
        <v>75</v>
      </c>
      <c r="H366" s="4">
        <v>7</v>
      </c>
      <c r="I366" s="5">
        <v>46160</v>
      </c>
      <c r="J366" s="5">
        <v>46164</v>
      </c>
      <c r="K366" s="6" t="s">
        <v>29</v>
      </c>
      <c r="L366" s="28">
        <f>F366*G366*(1-H366/100)</f>
        <v>1046.25</v>
      </c>
    </row>
    <row r="367" spans="1:12" ht="15.6" x14ac:dyDescent="0.3">
      <c r="A367" s="3">
        <v>1368</v>
      </c>
      <c r="B367" s="4" t="s">
        <v>55</v>
      </c>
      <c r="C367" s="4" t="s">
        <v>38</v>
      </c>
      <c r="D367" s="4" t="s">
        <v>13</v>
      </c>
      <c r="E367" s="4" t="s">
        <v>36</v>
      </c>
      <c r="F367" s="4">
        <v>9</v>
      </c>
      <c r="G367" s="4">
        <v>115</v>
      </c>
      <c r="H367" s="4">
        <v>0</v>
      </c>
      <c r="I367" s="5">
        <v>46036</v>
      </c>
      <c r="J367" s="5">
        <v>46045</v>
      </c>
      <c r="K367" s="6" t="s">
        <v>24</v>
      </c>
      <c r="L367" s="28">
        <f>F367*G367*(1-H367/100)</f>
        <v>1035</v>
      </c>
    </row>
    <row r="368" spans="1:12" ht="15.6" x14ac:dyDescent="0.3">
      <c r="A368" s="3">
        <v>1320</v>
      </c>
      <c r="B368" s="4" t="s">
        <v>47</v>
      </c>
      <c r="C368" s="4" t="s">
        <v>38</v>
      </c>
      <c r="D368" s="4" t="s">
        <v>13</v>
      </c>
      <c r="E368" s="4" t="s">
        <v>36</v>
      </c>
      <c r="F368" s="4">
        <v>20</v>
      </c>
      <c r="G368" s="4">
        <v>55</v>
      </c>
      <c r="H368" s="4">
        <v>7</v>
      </c>
      <c r="I368" s="5">
        <v>46183</v>
      </c>
      <c r="J368" s="5">
        <v>46186</v>
      </c>
      <c r="K368" s="6" t="s">
        <v>20</v>
      </c>
      <c r="L368" s="28">
        <f>F368*G368*(1-H368/100)</f>
        <v>1022.9999999999999</v>
      </c>
    </row>
    <row r="369" spans="1:12" ht="15.6" x14ac:dyDescent="0.3">
      <c r="A369" s="3">
        <v>1265</v>
      </c>
      <c r="B369" s="4" t="s">
        <v>58</v>
      </c>
      <c r="C369" s="4" t="s">
        <v>22</v>
      </c>
      <c r="D369" s="4" t="s">
        <v>18</v>
      </c>
      <c r="E369" s="4" t="s">
        <v>19</v>
      </c>
      <c r="F369" s="4">
        <v>1</v>
      </c>
      <c r="G369" s="4">
        <v>1052</v>
      </c>
      <c r="H369" s="4">
        <v>7</v>
      </c>
      <c r="I369" s="5">
        <v>46117</v>
      </c>
      <c r="J369" s="5">
        <v>46127</v>
      </c>
      <c r="K369" s="6" t="s">
        <v>51</v>
      </c>
      <c r="L369" s="28">
        <f>F369*G369*(1-H369/100)</f>
        <v>978.3599999999999</v>
      </c>
    </row>
    <row r="370" spans="1:12" ht="15.6" x14ac:dyDescent="0.3">
      <c r="A370" s="3">
        <v>1238</v>
      </c>
      <c r="B370" s="4" t="s">
        <v>30</v>
      </c>
      <c r="C370" s="4" t="s">
        <v>31</v>
      </c>
      <c r="D370" s="4" t="s">
        <v>13</v>
      </c>
      <c r="E370" s="4" t="s">
        <v>14</v>
      </c>
      <c r="F370" s="4">
        <v>6</v>
      </c>
      <c r="G370" s="4">
        <v>180</v>
      </c>
      <c r="H370" s="4">
        <v>12</v>
      </c>
      <c r="I370" s="5">
        <v>46096</v>
      </c>
      <c r="J370" s="5">
        <v>46097</v>
      </c>
      <c r="K370" s="6" t="s">
        <v>51</v>
      </c>
      <c r="L370" s="28">
        <f>F370*G370*(1-H370/100)</f>
        <v>950.4</v>
      </c>
    </row>
    <row r="371" spans="1:12" ht="15.6" x14ac:dyDescent="0.3">
      <c r="A371" s="3">
        <v>1105</v>
      </c>
      <c r="B371" s="4" t="s">
        <v>59</v>
      </c>
      <c r="C371" s="4" t="s">
        <v>25</v>
      </c>
      <c r="D371" s="4" t="s">
        <v>13</v>
      </c>
      <c r="E371" s="4" t="s">
        <v>50</v>
      </c>
      <c r="F371" s="4">
        <v>2</v>
      </c>
      <c r="G371" s="4">
        <v>493</v>
      </c>
      <c r="H371" s="4">
        <v>12</v>
      </c>
      <c r="I371" s="5">
        <v>46057</v>
      </c>
      <c r="J371" s="5">
        <v>46066</v>
      </c>
      <c r="K371" s="6" t="s">
        <v>51</v>
      </c>
      <c r="L371" s="28">
        <f>F371*G371*(1-H371/100)</f>
        <v>867.68</v>
      </c>
    </row>
    <row r="372" spans="1:12" ht="15.6" x14ac:dyDescent="0.3">
      <c r="A372" s="3">
        <v>1082</v>
      </c>
      <c r="B372" s="4" t="s">
        <v>21</v>
      </c>
      <c r="C372" s="4" t="s">
        <v>12</v>
      </c>
      <c r="D372" s="4" t="s">
        <v>13</v>
      </c>
      <c r="E372" s="4" t="s">
        <v>14</v>
      </c>
      <c r="F372" s="4">
        <v>7</v>
      </c>
      <c r="G372" s="4">
        <v>133</v>
      </c>
      <c r="H372" s="4">
        <v>10</v>
      </c>
      <c r="I372" s="5">
        <v>46075</v>
      </c>
      <c r="J372" s="5">
        <v>46085</v>
      </c>
      <c r="K372" s="6" t="s">
        <v>51</v>
      </c>
      <c r="L372" s="28">
        <f>F372*G372*(1-H372/100)</f>
        <v>837.9</v>
      </c>
    </row>
    <row r="373" spans="1:12" ht="15.6" x14ac:dyDescent="0.3">
      <c r="A373" s="3">
        <v>1192</v>
      </c>
      <c r="B373" s="4" t="s">
        <v>21</v>
      </c>
      <c r="C373" s="4" t="s">
        <v>33</v>
      </c>
      <c r="D373" s="4" t="s">
        <v>13</v>
      </c>
      <c r="E373" s="4" t="s">
        <v>53</v>
      </c>
      <c r="F373" s="4">
        <v>18</v>
      </c>
      <c r="G373" s="4">
        <v>49</v>
      </c>
      <c r="H373" s="4">
        <v>12</v>
      </c>
      <c r="I373" s="5">
        <v>46089</v>
      </c>
      <c r="J373" s="5">
        <v>46095</v>
      </c>
      <c r="K373" s="6" t="s">
        <v>24</v>
      </c>
      <c r="L373" s="28">
        <f>F373*G373*(1-H373/100)</f>
        <v>776.16</v>
      </c>
    </row>
    <row r="374" spans="1:12" ht="15.6" x14ac:dyDescent="0.3">
      <c r="A374" s="3">
        <v>1091</v>
      </c>
      <c r="B374" s="4" t="s">
        <v>55</v>
      </c>
      <c r="C374" s="4" t="s">
        <v>17</v>
      </c>
      <c r="D374" s="4" t="s">
        <v>13</v>
      </c>
      <c r="E374" s="4" t="s">
        <v>53</v>
      </c>
      <c r="F374" s="4">
        <v>2</v>
      </c>
      <c r="G374" s="4">
        <v>305</v>
      </c>
      <c r="H374" s="4">
        <v>0</v>
      </c>
      <c r="I374" s="5">
        <v>46136</v>
      </c>
      <c r="J374" s="5">
        <v>46144</v>
      </c>
      <c r="K374" s="6" t="s">
        <v>15</v>
      </c>
      <c r="L374" s="28">
        <f>F374*G374*(1-H374/100)</f>
        <v>610</v>
      </c>
    </row>
    <row r="375" spans="1:12" ht="15.6" x14ac:dyDescent="0.3">
      <c r="A375" s="3">
        <v>1183</v>
      </c>
      <c r="B375" s="4" t="s">
        <v>52</v>
      </c>
      <c r="C375" s="4" t="s">
        <v>43</v>
      </c>
      <c r="D375" s="4" t="s">
        <v>13</v>
      </c>
      <c r="E375" s="4" t="s">
        <v>14</v>
      </c>
      <c r="F375" s="4">
        <v>2</v>
      </c>
      <c r="G375" s="4">
        <v>309</v>
      </c>
      <c r="H375" s="4">
        <v>2</v>
      </c>
      <c r="I375" s="5">
        <v>46109</v>
      </c>
      <c r="J375" s="5">
        <v>46111</v>
      </c>
      <c r="K375" s="6" t="s">
        <v>20</v>
      </c>
      <c r="L375" s="28">
        <f>F375*G375*(1-H375/100)</f>
        <v>605.64</v>
      </c>
    </row>
    <row r="376" spans="1:12" ht="15.6" x14ac:dyDescent="0.3">
      <c r="A376" s="3">
        <v>1041</v>
      </c>
      <c r="B376" s="4" t="s">
        <v>54</v>
      </c>
      <c r="C376" s="4" t="s">
        <v>38</v>
      </c>
      <c r="D376" s="4" t="s">
        <v>13</v>
      </c>
      <c r="E376" s="4" t="s">
        <v>50</v>
      </c>
      <c r="F376" s="4">
        <v>9</v>
      </c>
      <c r="G376" s="4">
        <v>71</v>
      </c>
      <c r="H376" s="4">
        <v>7</v>
      </c>
      <c r="I376" s="5">
        <v>46185</v>
      </c>
      <c r="J376" s="5">
        <v>46188</v>
      </c>
      <c r="K376" s="6" t="s">
        <v>15</v>
      </c>
      <c r="L376" s="28">
        <f>F376*G376*(1-H376/100)</f>
        <v>594.27</v>
      </c>
    </row>
    <row r="377" spans="1:12" ht="15.6" x14ac:dyDescent="0.3">
      <c r="A377" s="3">
        <v>1130</v>
      </c>
      <c r="B377" s="4" t="s">
        <v>48</v>
      </c>
      <c r="C377" s="4" t="s">
        <v>33</v>
      </c>
      <c r="D377" s="4" t="s">
        <v>13</v>
      </c>
      <c r="E377" s="4" t="s">
        <v>14</v>
      </c>
      <c r="F377" s="4">
        <v>12</v>
      </c>
      <c r="G377" s="4">
        <v>50</v>
      </c>
      <c r="H377" s="4">
        <v>2</v>
      </c>
      <c r="I377" s="5">
        <v>46125</v>
      </c>
      <c r="J377" s="5">
        <v>46131</v>
      </c>
      <c r="K377" s="6" t="s">
        <v>24</v>
      </c>
      <c r="L377" s="28">
        <f>F377*G377*(1-H377/100)</f>
        <v>588</v>
      </c>
    </row>
    <row r="378" spans="1:12" ht="15.6" x14ac:dyDescent="0.3">
      <c r="A378" s="3">
        <v>1001</v>
      </c>
      <c r="B378" s="4" t="s">
        <v>11</v>
      </c>
      <c r="C378" s="4" t="s">
        <v>12</v>
      </c>
      <c r="D378" s="4" t="s">
        <v>13</v>
      </c>
      <c r="E378" s="4" t="s">
        <v>14</v>
      </c>
      <c r="F378" s="4">
        <v>3</v>
      </c>
      <c r="G378" s="4">
        <v>222</v>
      </c>
      <c r="H378" s="4">
        <v>15</v>
      </c>
      <c r="I378" s="5">
        <v>46081</v>
      </c>
      <c r="J378" s="5">
        <v>46083</v>
      </c>
      <c r="K378" s="6" t="s">
        <v>15</v>
      </c>
      <c r="L378" s="28">
        <f>F378*G378*(1-H378/100)</f>
        <v>566.1</v>
      </c>
    </row>
    <row r="379" spans="1:12" ht="15.6" x14ac:dyDescent="0.3">
      <c r="A379" s="3">
        <v>1051</v>
      </c>
      <c r="B379" s="4" t="s">
        <v>58</v>
      </c>
      <c r="C379" s="4" t="s">
        <v>17</v>
      </c>
      <c r="D379" s="4" t="s">
        <v>13</v>
      </c>
      <c r="E379" s="4" t="s">
        <v>36</v>
      </c>
      <c r="F379" s="4">
        <v>12</v>
      </c>
      <c r="G379" s="4">
        <v>47</v>
      </c>
      <c r="H379" s="4">
        <v>2</v>
      </c>
      <c r="I379" s="5">
        <v>46037</v>
      </c>
      <c r="J379" s="5">
        <v>46045</v>
      </c>
      <c r="K379" s="6" t="s">
        <v>15</v>
      </c>
      <c r="L379" s="28">
        <f>F379*G379*(1-H379/100)</f>
        <v>552.72</v>
      </c>
    </row>
    <row r="380" spans="1:12" ht="15.6" x14ac:dyDescent="0.3">
      <c r="A380" s="3">
        <v>1086</v>
      </c>
      <c r="B380" s="4" t="s">
        <v>32</v>
      </c>
      <c r="C380" s="4" t="s">
        <v>12</v>
      </c>
      <c r="D380" s="4" t="s">
        <v>13</v>
      </c>
      <c r="E380" s="4" t="s">
        <v>53</v>
      </c>
      <c r="F380" s="4">
        <v>15</v>
      </c>
      <c r="G380" s="4">
        <v>40</v>
      </c>
      <c r="H380" s="4">
        <v>10</v>
      </c>
      <c r="I380" s="5">
        <v>46045</v>
      </c>
      <c r="J380" s="5">
        <v>46049</v>
      </c>
      <c r="K380" s="6" t="s">
        <v>24</v>
      </c>
      <c r="L380" s="28">
        <f>F380*G380*(1-H380/100)</f>
        <v>540</v>
      </c>
    </row>
    <row r="381" spans="1:12" ht="15.6" x14ac:dyDescent="0.3">
      <c r="A381" s="3">
        <v>1206</v>
      </c>
      <c r="B381" s="4" t="s">
        <v>55</v>
      </c>
      <c r="C381" s="4" t="s">
        <v>33</v>
      </c>
      <c r="D381" s="4" t="s">
        <v>13</v>
      </c>
      <c r="E381" s="4" t="s">
        <v>14</v>
      </c>
      <c r="F381" s="4">
        <v>9</v>
      </c>
      <c r="G381" s="4">
        <v>60</v>
      </c>
      <c r="H381" s="4">
        <v>0</v>
      </c>
      <c r="I381" s="5">
        <v>46166</v>
      </c>
      <c r="J381" s="5">
        <v>46174</v>
      </c>
      <c r="K381" s="6" t="s">
        <v>15</v>
      </c>
      <c r="L381" s="28">
        <f>F381*G381*(1-H381/100)</f>
        <v>540</v>
      </c>
    </row>
    <row r="382" spans="1:12" ht="15.6" x14ac:dyDescent="0.3">
      <c r="A382" s="3">
        <v>1328</v>
      </c>
      <c r="B382" s="4" t="s">
        <v>16</v>
      </c>
      <c r="C382" s="4" t="s">
        <v>38</v>
      </c>
      <c r="D382" s="4" t="s">
        <v>13</v>
      </c>
      <c r="E382" s="4" t="s">
        <v>36</v>
      </c>
      <c r="F382" s="4">
        <v>4</v>
      </c>
      <c r="G382" s="4">
        <v>132</v>
      </c>
      <c r="H382" s="4">
        <v>0</v>
      </c>
      <c r="I382" s="5">
        <v>46109</v>
      </c>
      <c r="J382" s="5">
        <v>46114</v>
      </c>
      <c r="K382" s="6" t="s">
        <v>29</v>
      </c>
      <c r="L382" s="28">
        <f>F382*G382*(1-H382/100)</f>
        <v>528</v>
      </c>
    </row>
    <row r="383" spans="1:12" ht="15.6" x14ac:dyDescent="0.3">
      <c r="A383" s="3">
        <v>1157</v>
      </c>
      <c r="B383" s="4" t="s">
        <v>52</v>
      </c>
      <c r="C383" s="4" t="s">
        <v>33</v>
      </c>
      <c r="D383" s="4" t="s">
        <v>13</v>
      </c>
      <c r="E383" s="4" t="s">
        <v>50</v>
      </c>
      <c r="F383" s="4">
        <v>3</v>
      </c>
      <c r="G383" s="4">
        <v>203</v>
      </c>
      <c r="H383" s="4">
        <v>15</v>
      </c>
      <c r="I383" s="5">
        <v>46076</v>
      </c>
      <c r="J383" s="5">
        <v>46080</v>
      </c>
      <c r="K383" s="6" t="s">
        <v>29</v>
      </c>
      <c r="L383" s="28">
        <f>F383*G383*(1-H383/100)</f>
        <v>517.65</v>
      </c>
    </row>
    <row r="384" spans="1:12" ht="15.6" x14ac:dyDescent="0.3">
      <c r="A384" s="3">
        <v>1165</v>
      </c>
      <c r="B384" s="4" t="s">
        <v>48</v>
      </c>
      <c r="C384" s="4" t="s">
        <v>25</v>
      </c>
      <c r="D384" s="4" t="s">
        <v>13</v>
      </c>
      <c r="E384" s="4" t="s">
        <v>37</v>
      </c>
      <c r="F384" s="4">
        <v>1</v>
      </c>
      <c r="G384" s="4">
        <v>427</v>
      </c>
      <c r="H384" s="4">
        <v>0</v>
      </c>
      <c r="I384" s="5">
        <v>46042</v>
      </c>
      <c r="J384" s="5">
        <v>46050</v>
      </c>
      <c r="K384" s="6" t="s">
        <v>51</v>
      </c>
      <c r="L384" s="28">
        <f>F384*G384*(1-H384/100)</f>
        <v>427</v>
      </c>
    </row>
    <row r="385" spans="1:12" ht="15.6" x14ac:dyDescent="0.3">
      <c r="A385" s="3">
        <v>1280</v>
      </c>
      <c r="B385" s="4" t="s">
        <v>59</v>
      </c>
      <c r="C385" s="4" t="s">
        <v>38</v>
      </c>
      <c r="D385" s="4" t="s">
        <v>13</v>
      </c>
      <c r="E385" s="4" t="s">
        <v>53</v>
      </c>
      <c r="F385" s="4">
        <v>9</v>
      </c>
      <c r="G385" s="4">
        <v>50</v>
      </c>
      <c r="H385" s="4">
        <v>7</v>
      </c>
      <c r="I385" s="5">
        <v>46085</v>
      </c>
      <c r="J385" s="5">
        <v>46095</v>
      </c>
      <c r="K385" s="6" t="s">
        <v>51</v>
      </c>
      <c r="L385" s="28">
        <f>F385*G385*(1-H385/100)</f>
        <v>418.5</v>
      </c>
    </row>
    <row r="386" spans="1:12" ht="15.6" x14ac:dyDescent="0.3">
      <c r="A386" s="3">
        <v>1311</v>
      </c>
      <c r="B386" s="4" t="s">
        <v>55</v>
      </c>
      <c r="C386" s="4" t="s">
        <v>12</v>
      </c>
      <c r="D386" s="4" t="s">
        <v>13</v>
      </c>
      <c r="E386" s="4" t="s">
        <v>14</v>
      </c>
      <c r="F386" s="4">
        <v>2</v>
      </c>
      <c r="G386" s="4">
        <v>209</v>
      </c>
      <c r="H386" s="4">
        <v>0</v>
      </c>
      <c r="I386" s="5">
        <v>46173</v>
      </c>
      <c r="J386" s="5">
        <v>46176</v>
      </c>
      <c r="K386" s="6" t="s">
        <v>20</v>
      </c>
      <c r="L386" s="28">
        <f>F386*G386*(1-H386/100)</f>
        <v>418</v>
      </c>
    </row>
    <row r="387" spans="1:12" ht="15.6" x14ac:dyDescent="0.3">
      <c r="A387" s="3">
        <v>1219</v>
      </c>
      <c r="B387" s="4" t="s">
        <v>46</v>
      </c>
      <c r="C387" s="4" t="s">
        <v>22</v>
      </c>
      <c r="D387" s="4" t="s">
        <v>13</v>
      </c>
      <c r="E387" s="4" t="s">
        <v>14</v>
      </c>
      <c r="F387" s="4">
        <v>4</v>
      </c>
      <c r="G387" s="4">
        <v>117</v>
      </c>
      <c r="H387" s="4">
        <v>15</v>
      </c>
      <c r="I387" s="5">
        <v>46202</v>
      </c>
      <c r="J387" s="5">
        <v>46206</v>
      </c>
      <c r="K387" s="6" t="s">
        <v>29</v>
      </c>
      <c r="L387" s="28">
        <f>F387*G387*(1-H387/100)</f>
        <v>397.8</v>
      </c>
    </row>
    <row r="388" spans="1:12" ht="15.6" x14ac:dyDescent="0.3">
      <c r="A388" s="3">
        <v>1166</v>
      </c>
      <c r="B388" s="4" t="s">
        <v>32</v>
      </c>
      <c r="C388" s="4" t="s">
        <v>31</v>
      </c>
      <c r="D388" s="4" t="s">
        <v>13</v>
      </c>
      <c r="E388" s="4" t="s">
        <v>37</v>
      </c>
      <c r="F388" s="4">
        <v>1</v>
      </c>
      <c r="G388" s="4">
        <v>396</v>
      </c>
      <c r="H388" s="4">
        <v>5</v>
      </c>
      <c r="I388" s="5">
        <v>46092</v>
      </c>
      <c r="J388" s="5">
        <v>46093</v>
      </c>
      <c r="K388" s="6" t="s">
        <v>20</v>
      </c>
      <c r="L388" s="28">
        <f>F388*G388*(1-H388/100)</f>
        <v>376.2</v>
      </c>
    </row>
    <row r="389" spans="1:12" ht="15.6" x14ac:dyDescent="0.3">
      <c r="A389" s="3">
        <v>1396</v>
      </c>
      <c r="B389" s="4" t="s">
        <v>21</v>
      </c>
      <c r="C389" s="4" t="s">
        <v>38</v>
      </c>
      <c r="D389" s="4" t="s">
        <v>13</v>
      </c>
      <c r="E389" s="4" t="s">
        <v>53</v>
      </c>
      <c r="F389" s="4">
        <v>8</v>
      </c>
      <c r="G389" s="4">
        <v>54</v>
      </c>
      <c r="H389" s="4">
        <v>15</v>
      </c>
      <c r="I389" s="5">
        <v>46031</v>
      </c>
      <c r="J389" s="5">
        <v>46035</v>
      </c>
      <c r="K389" s="6" t="s">
        <v>15</v>
      </c>
      <c r="L389" s="28">
        <f>F389*G389*(1-H389/100)</f>
        <v>367.2</v>
      </c>
    </row>
    <row r="390" spans="1:12" ht="15.6" x14ac:dyDescent="0.3">
      <c r="A390" s="3">
        <v>1114</v>
      </c>
      <c r="B390" s="4" t="s">
        <v>16</v>
      </c>
      <c r="C390" s="4" t="s">
        <v>25</v>
      </c>
      <c r="D390" s="4" t="s">
        <v>13</v>
      </c>
      <c r="E390" s="4" t="s">
        <v>50</v>
      </c>
      <c r="F390" s="4">
        <v>13</v>
      </c>
      <c r="G390" s="4">
        <v>32</v>
      </c>
      <c r="H390" s="4">
        <v>15</v>
      </c>
      <c r="I390" s="5">
        <v>46066</v>
      </c>
      <c r="J390" s="5">
        <v>46069</v>
      </c>
      <c r="K390" s="6" t="s">
        <v>15</v>
      </c>
      <c r="L390" s="28">
        <f>F390*G390*(1-H390/100)</f>
        <v>353.59999999999997</v>
      </c>
    </row>
    <row r="391" spans="1:12" ht="15.6" x14ac:dyDescent="0.3">
      <c r="A391" s="3">
        <v>1367</v>
      </c>
      <c r="B391" s="4" t="s">
        <v>54</v>
      </c>
      <c r="C391" s="4" t="s">
        <v>25</v>
      </c>
      <c r="D391" s="4" t="s">
        <v>13</v>
      </c>
      <c r="E391" s="4" t="s">
        <v>53</v>
      </c>
      <c r="F391" s="4">
        <v>1</v>
      </c>
      <c r="G391" s="4">
        <v>371</v>
      </c>
      <c r="H391" s="4">
        <v>5</v>
      </c>
      <c r="I391" s="5">
        <v>46158</v>
      </c>
      <c r="J391" s="5">
        <v>46168</v>
      </c>
      <c r="K391" s="6" t="s">
        <v>29</v>
      </c>
      <c r="L391" s="28">
        <f>F391*G391*(1-H391/100)</f>
        <v>352.45</v>
      </c>
    </row>
    <row r="392" spans="1:12" ht="15.6" x14ac:dyDescent="0.3">
      <c r="A392" s="3">
        <v>1031</v>
      </c>
      <c r="B392" s="4" t="s">
        <v>54</v>
      </c>
      <c r="C392" s="4" t="s">
        <v>31</v>
      </c>
      <c r="D392" s="4" t="s">
        <v>13</v>
      </c>
      <c r="E392" s="4" t="s">
        <v>53</v>
      </c>
      <c r="F392" s="4">
        <v>2</v>
      </c>
      <c r="G392" s="4">
        <v>184</v>
      </c>
      <c r="H392" s="4">
        <v>5</v>
      </c>
      <c r="I392" s="5">
        <v>46089</v>
      </c>
      <c r="J392" s="5">
        <v>46093</v>
      </c>
      <c r="K392" s="6" t="s">
        <v>20</v>
      </c>
      <c r="L392" s="28">
        <f>F392*G392*(1-H392/100)</f>
        <v>349.59999999999997</v>
      </c>
    </row>
    <row r="393" spans="1:12" ht="15.6" x14ac:dyDescent="0.3">
      <c r="A393" s="3">
        <v>1306</v>
      </c>
      <c r="B393" s="4" t="s">
        <v>54</v>
      </c>
      <c r="C393" s="4" t="s">
        <v>43</v>
      </c>
      <c r="D393" s="4" t="s">
        <v>13</v>
      </c>
      <c r="E393" s="4" t="s">
        <v>36</v>
      </c>
      <c r="F393" s="4">
        <v>1</v>
      </c>
      <c r="G393" s="4">
        <v>332</v>
      </c>
      <c r="H393" s="4">
        <v>0</v>
      </c>
      <c r="I393" s="5">
        <v>46191</v>
      </c>
      <c r="J393" s="5">
        <v>46194</v>
      </c>
      <c r="K393" s="6" t="s">
        <v>20</v>
      </c>
      <c r="L393" s="28">
        <f>F393*G393*(1-H393/100)</f>
        <v>332</v>
      </c>
    </row>
    <row r="394" spans="1:12" ht="15.6" x14ac:dyDescent="0.3">
      <c r="A394" s="3">
        <v>1178</v>
      </c>
      <c r="B394" s="4" t="s">
        <v>57</v>
      </c>
      <c r="C394" s="4" t="s">
        <v>17</v>
      </c>
      <c r="D394" s="4" t="s">
        <v>13</v>
      </c>
      <c r="E394" s="4" t="s">
        <v>50</v>
      </c>
      <c r="F394" s="4">
        <v>5</v>
      </c>
      <c r="G394" s="4">
        <v>50</v>
      </c>
      <c r="H394" s="4">
        <v>0</v>
      </c>
      <c r="I394" s="5">
        <v>46111</v>
      </c>
      <c r="J394" s="5">
        <v>46117</v>
      </c>
      <c r="K394" s="6" t="s">
        <v>20</v>
      </c>
      <c r="L394" s="28">
        <f>F394*G394*(1-H394/100)</f>
        <v>250</v>
      </c>
    </row>
    <row r="395" spans="1:12" ht="15.6" x14ac:dyDescent="0.3">
      <c r="A395" s="3">
        <v>1125</v>
      </c>
      <c r="B395" s="4" t="s">
        <v>49</v>
      </c>
      <c r="C395" s="4" t="s">
        <v>33</v>
      </c>
      <c r="D395" s="4" t="s">
        <v>13</v>
      </c>
      <c r="E395" s="4" t="s">
        <v>14</v>
      </c>
      <c r="F395" s="4">
        <v>6</v>
      </c>
      <c r="G395" s="4">
        <v>30</v>
      </c>
      <c r="H395" s="4">
        <v>2</v>
      </c>
      <c r="I395" s="5">
        <v>46133</v>
      </c>
      <c r="J395" s="5">
        <v>46138</v>
      </c>
      <c r="K395" s="6" t="s">
        <v>24</v>
      </c>
      <c r="L395" s="28">
        <f>F395*G395*(1-H395/100)</f>
        <v>176.4</v>
      </c>
    </row>
    <row r="396" spans="1:12" ht="15.6" x14ac:dyDescent="0.3">
      <c r="A396" s="3">
        <v>1318</v>
      </c>
      <c r="B396" s="4" t="s">
        <v>11</v>
      </c>
      <c r="C396" s="4" t="s">
        <v>43</v>
      </c>
      <c r="D396" s="4" t="s">
        <v>13</v>
      </c>
      <c r="E396" s="4" t="s">
        <v>50</v>
      </c>
      <c r="F396" s="4">
        <v>4</v>
      </c>
      <c r="G396" s="4">
        <v>38</v>
      </c>
      <c r="H396" s="4">
        <v>12</v>
      </c>
      <c r="I396" s="5">
        <v>46169</v>
      </c>
      <c r="J396" s="5">
        <v>46175</v>
      </c>
      <c r="K396" s="6" t="s">
        <v>29</v>
      </c>
      <c r="L396" s="28">
        <f>F396*G396*(1-H396/100)</f>
        <v>133.76</v>
      </c>
    </row>
    <row r="397" spans="1:12" ht="15.6" x14ac:dyDescent="0.3">
      <c r="A397" s="3">
        <v>1218</v>
      </c>
      <c r="B397" s="4" t="s">
        <v>55</v>
      </c>
      <c r="C397" s="4" t="s">
        <v>38</v>
      </c>
      <c r="D397" s="4" t="s">
        <v>13</v>
      </c>
      <c r="E397" s="4" t="s">
        <v>14</v>
      </c>
      <c r="F397" s="4">
        <v>1</v>
      </c>
      <c r="G397" s="4">
        <v>134</v>
      </c>
      <c r="H397" s="4">
        <v>10</v>
      </c>
      <c r="I397" s="5">
        <v>46143</v>
      </c>
      <c r="J397" s="5">
        <v>46151</v>
      </c>
      <c r="K397" s="6" t="s">
        <v>51</v>
      </c>
      <c r="L397" s="28">
        <f>F397*G397*(1-H397/100)</f>
        <v>120.60000000000001</v>
      </c>
    </row>
    <row r="398" spans="1:12" ht="15.6" x14ac:dyDescent="0.3">
      <c r="A398" s="3">
        <v>1077</v>
      </c>
      <c r="B398" s="4" t="s">
        <v>55</v>
      </c>
      <c r="C398" s="4" t="s">
        <v>25</v>
      </c>
      <c r="D398" s="4" t="s">
        <v>13</v>
      </c>
      <c r="E398" s="4" t="s">
        <v>14</v>
      </c>
      <c r="F398" s="4">
        <v>1</v>
      </c>
      <c r="G398" s="4">
        <v>123</v>
      </c>
      <c r="H398" s="4">
        <v>10</v>
      </c>
      <c r="I398" s="5">
        <v>46113</v>
      </c>
      <c r="J398" s="5">
        <v>46121</v>
      </c>
      <c r="K398" s="6" t="s">
        <v>51</v>
      </c>
      <c r="L398" s="28">
        <f>F398*G398*(1-H398/100)</f>
        <v>110.7</v>
      </c>
    </row>
    <row r="399" spans="1:12" ht="15.6" x14ac:dyDescent="0.3">
      <c r="A399" s="3">
        <v>1205</v>
      </c>
      <c r="B399" s="4" t="s">
        <v>21</v>
      </c>
      <c r="C399" s="4" t="s">
        <v>38</v>
      </c>
      <c r="D399" s="4" t="s">
        <v>13</v>
      </c>
      <c r="E399" s="4" t="s">
        <v>36</v>
      </c>
      <c r="F399" s="4">
        <v>1</v>
      </c>
      <c r="G399" s="4">
        <v>112</v>
      </c>
      <c r="H399" s="4">
        <v>7</v>
      </c>
      <c r="I399" s="5">
        <v>46033</v>
      </c>
      <c r="J399" s="5">
        <v>46040</v>
      </c>
      <c r="K399" s="6" t="s">
        <v>51</v>
      </c>
      <c r="L399" s="28">
        <f>F399*G399*(1-H399/100)</f>
        <v>104.16</v>
      </c>
    </row>
    <row r="400" spans="1:12" ht="15.6" x14ac:dyDescent="0.3">
      <c r="A400" s="3">
        <v>1309</v>
      </c>
      <c r="B400" s="4" t="s">
        <v>29</v>
      </c>
      <c r="C400" s="4" t="s">
        <v>31</v>
      </c>
      <c r="D400" s="4" t="s">
        <v>13</v>
      </c>
      <c r="E400" s="4" t="s">
        <v>50</v>
      </c>
      <c r="F400" s="4">
        <v>2</v>
      </c>
      <c r="G400" s="4">
        <v>35</v>
      </c>
      <c r="H400" s="4">
        <v>5</v>
      </c>
      <c r="I400" s="5">
        <v>46197</v>
      </c>
      <c r="J400" s="5">
        <v>46198</v>
      </c>
      <c r="K400" s="6" t="s">
        <v>24</v>
      </c>
      <c r="L400" s="28">
        <f>F400*G400*(1-H400/100)</f>
        <v>66.5</v>
      </c>
    </row>
    <row r="401" spans="1:12" ht="16.2" thickBot="1" x14ac:dyDescent="0.35">
      <c r="A401" s="7">
        <v>1267</v>
      </c>
      <c r="B401" s="8" t="s">
        <v>27</v>
      </c>
      <c r="C401" s="8" t="s">
        <v>38</v>
      </c>
      <c r="D401" s="8" t="s">
        <v>13</v>
      </c>
      <c r="E401" s="8" t="s">
        <v>50</v>
      </c>
      <c r="F401" s="8">
        <v>1</v>
      </c>
      <c r="G401" s="8">
        <v>50</v>
      </c>
      <c r="H401" s="8">
        <v>0</v>
      </c>
      <c r="I401" s="9">
        <v>46129</v>
      </c>
      <c r="J401" s="9">
        <v>46138</v>
      </c>
      <c r="K401" s="10" t="s">
        <v>20</v>
      </c>
      <c r="L401" s="28">
        <f>F401*G401*(1-H401/100)</f>
        <v>50</v>
      </c>
    </row>
  </sheetData>
  <autoFilter ref="A1:L401" xr:uid="{DED1CBCB-D01F-4658-AF8E-8E18405D5D79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1A35-79CC-4101-94F3-C98B444A38A4}">
  <dimension ref="A3:B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3" spans="1:2" x14ac:dyDescent="0.3">
      <c r="A3" s="41" t="s">
        <v>85</v>
      </c>
      <c r="B3" t="s">
        <v>87</v>
      </c>
    </row>
    <row r="4" spans="1:2" x14ac:dyDescent="0.3">
      <c r="A4" s="42" t="s">
        <v>25</v>
      </c>
      <c r="B4" s="43">
        <v>62918</v>
      </c>
    </row>
    <row r="5" spans="1:2" x14ac:dyDescent="0.3">
      <c r="A5" s="42" t="s">
        <v>31</v>
      </c>
      <c r="B5" s="43">
        <v>58787</v>
      </c>
    </row>
    <row r="6" spans="1:2" x14ac:dyDescent="0.3">
      <c r="A6" s="42" t="s">
        <v>38</v>
      </c>
      <c r="B6" s="43">
        <v>68564</v>
      </c>
    </row>
    <row r="7" spans="1:2" x14ac:dyDescent="0.3">
      <c r="A7" s="42" t="s">
        <v>33</v>
      </c>
      <c r="B7" s="43">
        <v>49019</v>
      </c>
    </row>
    <row r="8" spans="1:2" x14ac:dyDescent="0.3">
      <c r="A8" s="42" t="s">
        <v>12</v>
      </c>
      <c r="B8" s="43">
        <v>56685</v>
      </c>
    </row>
    <row r="9" spans="1:2" x14ac:dyDescent="0.3">
      <c r="A9" s="42" t="s">
        <v>43</v>
      </c>
      <c r="B9" s="43">
        <v>64232</v>
      </c>
    </row>
    <row r="10" spans="1:2" x14ac:dyDescent="0.3">
      <c r="A10" s="42" t="s">
        <v>22</v>
      </c>
      <c r="B10" s="43">
        <v>60366</v>
      </c>
    </row>
    <row r="11" spans="1:2" x14ac:dyDescent="0.3">
      <c r="A11" s="42" t="s">
        <v>17</v>
      </c>
      <c r="B11" s="43">
        <v>59629</v>
      </c>
    </row>
    <row r="12" spans="1:2" x14ac:dyDescent="0.3">
      <c r="A12" s="42" t="s">
        <v>86</v>
      </c>
      <c r="B12" s="43">
        <v>480200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A5D5-C6E9-4F18-B9E8-B4BCF277D8E9}">
  <dimension ref="A1:N10"/>
  <sheetViews>
    <sheetView zoomScale="70" zoomScaleNormal="70" workbookViewId="0">
      <selection activeCell="N17" sqref="N17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2.33203125" bestFit="1" customWidth="1"/>
    <col min="4" max="4" width="11" bestFit="1" customWidth="1"/>
    <col min="5" max="5" width="9.77734375" bestFit="1" customWidth="1"/>
    <col min="6" max="6" width="10.33203125" bestFit="1" customWidth="1"/>
    <col min="7" max="7" width="12.109375" bestFit="1" customWidth="1"/>
    <col min="8" max="8" width="13.5546875" bestFit="1" customWidth="1"/>
    <col min="9" max="9" width="13.6640625" bestFit="1" customWidth="1"/>
    <col min="10" max="10" width="16.44140625" bestFit="1" customWidth="1"/>
    <col min="11" max="11" width="13.77734375" bestFit="1" customWidth="1"/>
    <col min="12" max="12" width="15.33203125" bestFit="1" customWidth="1"/>
    <col min="14" max="14" width="110.109375" bestFit="1" customWidth="1"/>
  </cols>
  <sheetData>
    <row r="1" spans="1:14" ht="18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26" t="s">
        <v>70</v>
      </c>
    </row>
    <row r="2" spans="1:14" ht="15.6" x14ac:dyDescent="0.3">
      <c r="A2" s="3">
        <v>1245</v>
      </c>
      <c r="B2" s="4" t="s">
        <v>55</v>
      </c>
      <c r="C2" s="4" t="s">
        <v>43</v>
      </c>
      <c r="D2" s="4" t="s">
        <v>34</v>
      </c>
      <c r="E2" s="4" t="s">
        <v>41</v>
      </c>
      <c r="F2" s="4">
        <v>19</v>
      </c>
      <c r="G2" s="4">
        <v>69029</v>
      </c>
      <c r="H2" s="4">
        <v>7</v>
      </c>
      <c r="I2" s="5">
        <v>46176</v>
      </c>
      <c r="J2" s="5">
        <v>46179</v>
      </c>
      <c r="K2" s="6" t="s">
        <v>29</v>
      </c>
      <c r="L2" s="28">
        <f>F2*G2*(1-H2/100)</f>
        <v>1219742.43</v>
      </c>
    </row>
    <row r="3" spans="1:14" ht="15.6" x14ac:dyDescent="0.3">
      <c r="A3" s="3">
        <v>1090</v>
      </c>
      <c r="B3" s="4" t="s">
        <v>49</v>
      </c>
      <c r="C3" s="4" t="s">
        <v>31</v>
      </c>
      <c r="D3" s="4" t="s">
        <v>34</v>
      </c>
      <c r="E3" s="4" t="s">
        <v>45</v>
      </c>
      <c r="F3" s="4">
        <v>19</v>
      </c>
      <c r="G3" s="4">
        <v>66139</v>
      </c>
      <c r="H3" s="4">
        <v>5</v>
      </c>
      <c r="I3" s="5">
        <v>46088</v>
      </c>
      <c r="J3" s="5">
        <v>46095</v>
      </c>
      <c r="K3" s="6" t="s">
        <v>24</v>
      </c>
      <c r="L3" s="28">
        <f>F3*G3*(1-H3/100)</f>
        <v>1193808.95</v>
      </c>
    </row>
    <row r="4" spans="1:14" ht="15.6" x14ac:dyDescent="0.3">
      <c r="A4" s="3">
        <v>1072</v>
      </c>
      <c r="B4" s="4" t="s">
        <v>16</v>
      </c>
      <c r="C4" s="4" t="s">
        <v>25</v>
      </c>
      <c r="D4" s="4" t="s">
        <v>34</v>
      </c>
      <c r="E4" s="4" t="s">
        <v>61</v>
      </c>
      <c r="F4" s="4">
        <v>20</v>
      </c>
      <c r="G4" s="4">
        <v>58779</v>
      </c>
      <c r="H4" s="4">
        <v>0</v>
      </c>
      <c r="I4" s="5">
        <v>46035</v>
      </c>
      <c r="J4" s="5">
        <v>46036</v>
      </c>
      <c r="K4" s="6" t="s">
        <v>24</v>
      </c>
      <c r="L4" s="28">
        <f>F4*G4*(1-H4/100)</f>
        <v>1175580</v>
      </c>
    </row>
    <row r="5" spans="1:14" ht="15.6" x14ac:dyDescent="0.3">
      <c r="A5" s="3">
        <v>1349</v>
      </c>
      <c r="B5" s="4" t="s">
        <v>40</v>
      </c>
      <c r="C5" s="4" t="s">
        <v>33</v>
      </c>
      <c r="D5" s="4" t="s">
        <v>34</v>
      </c>
      <c r="E5" s="4" t="s">
        <v>35</v>
      </c>
      <c r="F5" s="4">
        <v>20</v>
      </c>
      <c r="G5" s="4">
        <v>62721</v>
      </c>
      <c r="H5" s="4">
        <v>7</v>
      </c>
      <c r="I5" s="5">
        <v>46079</v>
      </c>
      <c r="J5" s="5">
        <v>46083</v>
      </c>
      <c r="K5" s="6" t="s">
        <v>20</v>
      </c>
      <c r="L5" s="28">
        <f>F5*G5*(1-H5/100)</f>
        <v>1166610.5999999999</v>
      </c>
    </row>
    <row r="6" spans="1:14" ht="18" x14ac:dyDescent="0.35">
      <c r="A6" s="3">
        <v>1375</v>
      </c>
      <c r="B6" s="4" t="s">
        <v>46</v>
      </c>
      <c r="C6" s="4" t="s">
        <v>43</v>
      </c>
      <c r="D6" s="4" t="s">
        <v>34</v>
      </c>
      <c r="E6" s="4" t="s">
        <v>45</v>
      </c>
      <c r="F6" s="4">
        <v>20</v>
      </c>
      <c r="G6" s="4">
        <v>56766</v>
      </c>
      <c r="H6" s="4">
        <v>0</v>
      </c>
      <c r="I6" s="5">
        <v>46052</v>
      </c>
      <c r="J6" s="5">
        <v>46061</v>
      </c>
      <c r="K6" s="6" t="s">
        <v>24</v>
      </c>
      <c r="L6" s="28">
        <f>F6*G6*(1-H6/100)</f>
        <v>1135320</v>
      </c>
      <c r="N6" s="44" t="s">
        <v>89</v>
      </c>
    </row>
    <row r="7" spans="1:14" ht="15.6" x14ac:dyDescent="0.3">
      <c r="A7" s="3">
        <v>1187</v>
      </c>
      <c r="B7" s="4" t="s">
        <v>54</v>
      </c>
      <c r="C7" s="4" t="s">
        <v>22</v>
      </c>
      <c r="D7" s="4" t="s">
        <v>34</v>
      </c>
      <c r="E7" s="4" t="s">
        <v>45</v>
      </c>
      <c r="F7" s="4">
        <v>18</v>
      </c>
      <c r="G7" s="4">
        <v>68527</v>
      </c>
      <c r="H7" s="4">
        <v>12</v>
      </c>
      <c r="I7" s="5">
        <v>46178</v>
      </c>
      <c r="J7" s="5">
        <v>46184</v>
      </c>
      <c r="K7" s="6" t="s">
        <v>51</v>
      </c>
      <c r="L7" s="28">
        <f>F7*G7*(1-H7/100)</f>
        <v>1085467.68</v>
      </c>
    </row>
    <row r="8" spans="1:14" ht="15.6" x14ac:dyDescent="0.3">
      <c r="A8" s="3">
        <v>1279</v>
      </c>
      <c r="B8" s="4" t="s">
        <v>55</v>
      </c>
      <c r="C8" s="4" t="s">
        <v>33</v>
      </c>
      <c r="D8" s="4" t="s">
        <v>34</v>
      </c>
      <c r="E8" s="4" t="s">
        <v>45</v>
      </c>
      <c r="F8" s="4">
        <v>20</v>
      </c>
      <c r="G8" s="4">
        <v>49042</v>
      </c>
      <c r="H8" s="4">
        <v>2</v>
      </c>
      <c r="I8" s="5">
        <v>46124</v>
      </c>
      <c r="J8" s="5">
        <v>46126</v>
      </c>
      <c r="K8" s="6" t="s">
        <v>15</v>
      </c>
      <c r="L8" s="28">
        <f>F8*G8*(1-H8/100)</f>
        <v>961223.2</v>
      </c>
    </row>
    <row r="9" spans="1:14" ht="15.6" x14ac:dyDescent="0.3">
      <c r="A9" s="3">
        <v>1135</v>
      </c>
      <c r="B9" s="4" t="s">
        <v>49</v>
      </c>
      <c r="C9" s="4" t="s">
        <v>43</v>
      </c>
      <c r="D9" s="4" t="s">
        <v>34</v>
      </c>
      <c r="E9" s="4" t="s">
        <v>39</v>
      </c>
      <c r="F9" s="4">
        <v>14</v>
      </c>
      <c r="G9" s="4">
        <v>68534</v>
      </c>
      <c r="H9" s="4">
        <v>0</v>
      </c>
      <c r="I9" s="5">
        <v>46041</v>
      </c>
      <c r="J9" s="5">
        <v>46042</v>
      </c>
      <c r="K9" s="6" t="s">
        <v>15</v>
      </c>
      <c r="L9" s="28">
        <f>F9*G9*(1-H9/100)</f>
        <v>959476</v>
      </c>
    </row>
    <row r="10" spans="1:14" ht="15.6" x14ac:dyDescent="0.3">
      <c r="A10" s="3">
        <v>1061</v>
      </c>
      <c r="B10" s="4" t="s">
        <v>57</v>
      </c>
      <c r="C10" s="4" t="s">
        <v>12</v>
      </c>
      <c r="D10" s="4" t="s">
        <v>34</v>
      </c>
      <c r="E10" s="4" t="s">
        <v>41</v>
      </c>
      <c r="F10" s="4">
        <v>16</v>
      </c>
      <c r="G10" s="4">
        <v>59084</v>
      </c>
      <c r="H10" s="4">
        <v>0</v>
      </c>
      <c r="I10" s="5">
        <v>46060</v>
      </c>
      <c r="J10" s="5">
        <v>46069</v>
      </c>
      <c r="K10" s="6" t="s">
        <v>20</v>
      </c>
      <c r="L10" s="28">
        <f>F10*G10*(1-H10/100)</f>
        <v>945344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MH_SalesData</vt:lpstr>
      <vt:lpstr>SalesData-Q (1)</vt:lpstr>
      <vt:lpstr>SalesData-Q (2)</vt:lpstr>
      <vt:lpstr>SalesData-Q (3)</vt:lpstr>
      <vt:lpstr>SalesData-Q (4)</vt:lpstr>
      <vt:lpstr>SalesData-Q (5)</vt:lpstr>
      <vt:lpstr>SalesData-Q (6)</vt:lpstr>
      <vt:lpstr>SalesData-Q (7)</vt:lpstr>
      <vt:lpstr>SalesData-Q (8)</vt:lpstr>
      <vt:lpstr>SalesData-Q (9)</vt:lpstr>
      <vt:lpstr>SalesData-Q (10)</vt:lpstr>
      <vt:lpstr>SalesData-Q (11)</vt:lpstr>
      <vt:lpstr>SalesData-Q (12)</vt:lpstr>
      <vt:lpstr>SalesData-Q (13)</vt:lpstr>
      <vt:lpstr>SalesData-Q (14-A)</vt:lpstr>
      <vt:lpstr>SheetData- Q(14-B)</vt:lpstr>
      <vt:lpstr>SheetData- Q(14-C)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Mishra</cp:lastModifiedBy>
  <dcterms:created xsi:type="dcterms:W3CDTF">2026-07-20T19:06:55Z</dcterms:created>
  <dcterms:modified xsi:type="dcterms:W3CDTF">2026-10-09T07:46:01Z</dcterms:modified>
</cp:coreProperties>
</file>